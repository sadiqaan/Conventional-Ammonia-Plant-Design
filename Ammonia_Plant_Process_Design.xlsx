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reenfeild Conventional Ammonia\"/>
    </mc:Choice>
  </mc:AlternateContent>
  <xr:revisionPtr revIDLastSave="0" documentId="13_ncr:1_{C04601B0-0B7D-4576-8149-8BE8A953786F}" xr6:coauthVersionLast="47" xr6:coauthVersionMax="47" xr10:uidLastSave="{00000000-0000-0000-0000-000000000000}"/>
  <bookViews>
    <workbookView xWindow="-108" yWindow="-108" windowWidth="23256" windowHeight="12456" firstSheet="3" activeTab="5" xr2:uid="{11FA80C7-DE7A-43D4-894B-86399371FF37}"/>
  </bookViews>
  <sheets>
    <sheet name="SHEET 01 — DESIGN BASIS" sheetId="1" r:id="rId1"/>
    <sheet name="02 — STREAM LIST" sheetId="2" r:id="rId2"/>
    <sheet name="03  Mass &amp; Energy Balance " sheetId="3" r:id="rId3"/>
    <sheet name="03- Equipment Design" sheetId="4" r:id="rId4"/>
    <sheet name="04 — UTILITY SUMMARY" sheetId="5" r:id="rId5"/>
    <sheet name="05 — Final Plant 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8" i="4" l="1"/>
  <c r="F99" i="4" s="1"/>
  <c r="F97" i="4"/>
  <c r="F96" i="4"/>
  <c r="F95" i="4"/>
  <c r="F94" i="4"/>
  <c r="S63" i="4"/>
  <c r="S64" i="4"/>
  <c r="S65" i="4"/>
  <c r="S62" i="4"/>
  <c r="S61" i="4"/>
  <c r="S60" i="4"/>
  <c r="S59" i="4"/>
  <c r="E56" i="4"/>
  <c r="E55" i="4"/>
  <c r="E54" i="4"/>
  <c r="E52" i="4"/>
  <c r="E51" i="4"/>
  <c r="E50" i="4"/>
  <c r="E49" i="4"/>
  <c r="O20" i="4"/>
  <c r="O16" i="4"/>
  <c r="O15" i="4"/>
  <c r="O14" i="4"/>
  <c r="O13" i="4"/>
  <c r="E23" i="4"/>
  <c r="E24" i="4" s="1"/>
  <c r="E22" i="4"/>
  <c r="E20" i="4"/>
  <c r="E21" i="4" s="1"/>
  <c r="E19" i="4"/>
  <c r="E18" i="4"/>
  <c r="E17" i="4"/>
  <c r="E16" i="4"/>
  <c r="E15" i="4"/>
  <c r="E14" i="4"/>
  <c r="J29" i="3"/>
  <c r="J28" i="3"/>
  <c r="J27" i="3"/>
  <c r="J38" i="3"/>
  <c r="J37" i="3"/>
  <c r="J36" i="3"/>
  <c r="J26" i="3"/>
  <c r="J25" i="3"/>
  <c r="J24" i="3"/>
  <c r="J23" i="3"/>
  <c r="J22" i="3"/>
  <c r="J21" i="3"/>
  <c r="J20" i="3"/>
  <c r="G13" i="3"/>
  <c r="G12" i="3"/>
  <c r="G11" i="3"/>
  <c r="G10" i="3"/>
  <c r="G9" i="3"/>
  <c r="G8" i="3"/>
  <c r="G7" i="3"/>
  <c r="G6" i="3"/>
  <c r="G5" i="3"/>
  <c r="G4" i="3"/>
</calcChain>
</file>

<file path=xl/sharedStrings.xml><?xml version="1.0" encoding="utf-8"?>
<sst xmlns="http://schemas.openxmlformats.org/spreadsheetml/2006/main" count="630" uniqueCount="337">
  <si>
    <t>A. PROJECT BASIS</t>
  </si>
  <si>
    <t>Parameter</t>
  </si>
  <si>
    <t>Plant Type</t>
  </si>
  <si>
    <t>Design Ammonia Capacity</t>
  </si>
  <si>
    <t>Design Production Rate</t>
  </si>
  <si>
    <t>Operating Mode</t>
  </si>
  <si>
    <t>Thermodynamic Package</t>
  </si>
  <si>
    <t>Steam-to-Carbon Ratio</t>
  </si>
  <si>
    <t>Value</t>
  </si>
  <si>
    <t>Conventional Natural-Gas Ammonia Plant</t>
  </si>
  <si>
    <t>Steady State</t>
  </si>
  <si>
    <t>Peng–Robinson</t>
  </si>
  <si>
    <t>Unit</t>
  </si>
  <si>
    <t>-</t>
  </si>
  <si>
    <t>MTPD</t>
  </si>
  <si>
    <t>kg/h</t>
  </si>
  <si>
    <t>mol/molC</t>
  </si>
  <si>
    <t>B.FEED BASIS</t>
  </si>
  <si>
    <t>Stream</t>
  </si>
  <si>
    <t>Temperature</t>
  </si>
  <si>
    <t>Pressure</t>
  </si>
  <si>
    <t>Mass Flow</t>
  </si>
  <si>
    <t>NG-101</t>
  </si>
  <si>
    <t>30°C</t>
  </si>
  <si>
    <t>40 bar(a)</t>
  </si>
  <si>
    <t>30,000 kg/h</t>
  </si>
  <si>
    <t>STM-101</t>
  </si>
  <si>
    <t>400°C</t>
  </si>
  <si>
    <t>87,210 kg/h</t>
  </si>
  <si>
    <t>AIR-101</t>
  </si>
  <si>
    <t>25°C</t>
  </si>
  <si>
    <t>45,000 kg/h</t>
  </si>
  <si>
    <t>C. NG-101 COMPOSITION</t>
  </si>
  <si>
    <t>Compound</t>
  </si>
  <si>
    <t>Mole Fraction</t>
  </si>
  <si>
    <t>Methane</t>
  </si>
  <si>
    <t>Ethane</t>
  </si>
  <si>
    <t>Propane</t>
  </si>
  <si>
    <t>N-butane</t>
  </si>
  <si>
    <t>Carbon dioxide</t>
  </si>
  <si>
    <t>Nitrogen</t>
  </si>
  <si>
    <t>Hydrogen sulfide</t>
  </si>
  <si>
    <t>Carbonyl sulfide</t>
  </si>
  <si>
    <t>Water</t>
  </si>
  <si>
    <t>D. AIR-101 COMPOSITION</t>
  </si>
  <si>
    <t>Oxygen</t>
  </si>
  <si>
    <t>Argon</t>
  </si>
  <si>
    <t>E. KEY PROCESS BASIS</t>
  </si>
  <si>
    <t>H₂/N₂ target for synthesis</t>
  </si>
  <si>
    <t>3.0 mol/mol</t>
  </si>
  <si>
    <t>Ammonia synthesis temperature</t>
  </si>
  <si>
    <t>430°C</t>
  </si>
  <si>
    <t>Ammonia synthesis pressure</t>
  </si>
  <si>
    <t>~148 bar(a)</t>
  </si>
  <si>
    <t>NH₃ condensation temperature</t>
  </si>
  <si>
    <t>NH₃ separation pressure</t>
  </si>
  <si>
    <t>~145 bar(a)</t>
  </si>
  <si>
    <t>Stream Tag</t>
  </si>
  <si>
    <t>T (°C)</t>
  </si>
  <si>
    <t>Mass Flow (kg/h)</t>
  </si>
  <si>
    <t>LTS-OUT-701</t>
  </si>
  <si>
    <t>SYNGAS-801</t>
  </si>
  <si>
    <t>S-801</t>
  </si>
  <si>
    <t>SYNGAS-802</t>
  </si>
  <si>
    <t>H-901</t>
  </si>
  <si>
    <t>METH-OUT-901</t>
  </si>
  <si>
    <t>H-1101</t>
  </si>
  <si>
    <t>R-1101</t>
  </si>
  <si>
    <t>NH3-HOT-RAW-1101</t>
  </si>
  <si>
    <t>HX-1101</t>
  </si>
  <si>
    <t>C-1201</t>
  </si>
  <si>
    <t>SYNGAS-SEP-1201</t>
  </si>
  <si>
    <t>NH3-LIQ-1201</t>
  </si>
  <si>
    <t>From</t>
  </si>
  <si>
    <t>To</t>
  </si>
  <si>
    <t>NH₃ (mol%)</t>
  </si>
  <si>
    <t>Feed</t>
  </si>
  <si>
    <t>Reforming</t>
  </si>
  <si>
    <t>Air Feed</t>
  </si>
  <si>
    <t>Secondary Reforming</t>
  </si>
  <si>
    <t>RFG-401</t>
  </si>
  <si>
    <t>Secondary Reformer</t>
  </si>
  <si>
    <t>RFG-402</t>
  </si>
  <si>
    <t>HTS</t>
  </si>
  <si>
    <t>HTS-OUT-601</t>
  </si>
  <si>
    <t>LTS</t>
  </si>
  <si>
    <t>CO₂ Removal</t>
  </si>
  <si>
    <t>Methanation</t>
  </si>
  <si>
    <t>SYNGAS-1005</t>
  </si>
  <si>
    <t>Compression</t>
  </si>
  <si>
    <t>SYNGAS-PRE-1101</t>
  </si>
  <si>
    <t>NH3-COLD-1201</t>
  </si>
  <si>
    <t>P (bar)</t>
  </si>
  <si>
    <t>Phase</t>
  </si>
  <si>
    <t>Feed Preparation</t>
  </si>
  <si>
    <t>Vapor</t>
  </si>
  <si>
    <t>Steam Feed</t>
  </si>
  <si>
    <t>NG-102</t>
  </si>
  <si>
    <t>NG-103</t>
  </si>
  <si>
    <t>RFG-301</t>
  </si>
  <si>
    <t>Primary Reformer</t>
  </si>
  <si>
    <t>RFG-302</t>
  </si>
  <si>
    <t>Syngas Heat Recovery</t>
  </si>
  <si>
    <t>Gas-Liquid Separation</t>
  </si>
  <si>
    <t>2-Phase</t>
  </si>
  <si>
    <t>SYNGAS-1003</t>
  </si>
  <si>
    <t>Compression Stage 2</t>
  </si>
  <si>
    <t>Compression Stage 3</t>
  </si>
  <si>
    <t>NH₃ Synthesis</t>
  </si>
  <si>
    <t>HX/Recycle</t>
  </si>
  <si>
    <t>Cooling</t>
  </si>
  <si>
    <t>NH₃ Separation</t>
  </si>
  <si>
    <t>Purge/Recycle</t>
  </si>
  <si>
    <t>PURGE-GAS-1201</t>
  </si>
  <si>
    <t>Splitter</t>
  </si>
  <si>
    <t>Purge</t>
  </si>
  <si>
    <t>Product</t>
  </si>
  <si>
    <t>Liquid</t>
  </si>
  <si>
    <t>A. MASS BALANCE</t>
  </si>
  <si>
    <t>Heat Added (kW)</t>
  </si>
  <si>
    <t>H-301</t>
  </si>
  <si>
    <t>R-301</t>
  </si>
  <si>
    <t>R-401</t>
  </si>
  <si>
    <t>C-801</t>
  </si>
  <si>
    <t>K-1002</t>
  </si>
  <si>
    <t>K-1003</t>
  </si>
  <si>
    <t>Total In (kg/h)</t>
  </si>
  <si>
    <t>Δm(kg/h)</t>
  </si>
  <si>
    <t>Total Out (kg/h)</t>
  </si>
  <si>
    <t>R-601</t>
  </si>
  <si>
    <t>R-701</t>
  </si>
  <si>
    <t>GLS-801</t>
  </si>
  <si>
    <t>R-901</t>
  </si>
  <si>
    <t>K-1001</t>
  </si>
  <si>
    <t>B. ENERGY BALANCE</t>
  </si>
  <si>
    <t>Tag</t>
  </si>
  <si>
    <t>Tin (°C)</t>
  </si>
  <si>
    <t>Tout (°C)</t>
  </si>
  <si>
    <t>ΔT (°C)</t>
  </si>
  <si>
    <t>Compressor Power (kW)</t>
  </si>
  <si>
    <t>STREAM LIST</t>
  </si>
  <si>
    <t>A. K-101 COMPRESSOR DESIGN CALCULATION</t>
  </si>
  <si>
    <t>INPUT DATA</t>
  </si>
  <si>
    <t>Inlet Pressure</t>
  </si>
  <si>
    <t>P1</t>
  </si>
  <si>
    <t>bar</t>
  </si>
  <si>
    <t>Outlet Pressure</t>
  </si>
  <si>
    <t>P2</t>
  </si>
  <si>
    <t>Inlet Temperature</t>
  </si>
  <si>
    <t>T1</t>
  </si>
  <si>
    <t>C</t>
  </si>
  <si>
    <t>mass flow</t>
  </si>
  <si>
    <t>m</t>
  </si>
  <si>
    <t>Adiabatic Efficiency</t>
  </si>
  <si>
    <t>n</t>
  </si>
  <si>
    <t>%</t>
  </si>
  <si>
    <t>Specific Heat Ratio</t>
  </si>
  <si>
    <t>Molecular Weight</t>
  </si>
  <si>
    <t>k</t>
  </si>
  <si>
    <t>CALCULATED VALUES</t>
  </si>
  <si>
    <t>Temperature, absolute</t>
  </si>
  <si>
    <t>K</t>
  </si>
  <si>
    <t>kg/s</t>
  </si>
  <si>
    <t>Specific Gas Content</t>
  </si>
  <si>
    <t>R</t>
  </si>
  <si>
    <t>kJ/kg.K</t>
  </si>
  <si>
    <t>Pressure Ratio</t>
  </si>
  <si>
    <t>Isentropic Outlet Temperature</t>
  </si>
  <si>
    <t>T2s</t>
  </si>
  <si>
    <t>Actual Outlet Temperature</t>
  </si>
  <si>
    <t>T2</t>
  </si>
  <si>
    <t>Isentropic Work</t>
  </si>
  <si>
    <t>Ws</t>
  </si>
  <si>
    <t>Actual Specific Work</t>
  </si>
  <si>
    <t>W</t>
  </si>
  <si>
    <t>Calculated Power</t>
  </si>
  <si>
    <t>P</t>
  </si>
  <si>
    <t>SIMULATION CHECK</t>
  </si>
  <si>
    <t>DWSIM Pressure Increase</t>
  </si>
  <si>
    <t>ΔP</t>
  </si>
  <si>
    <t>DWSIM Adiabatic Head</t>
  </si>
  <si>
    <t>H</t>
  </si>
  <si>
    <t>DWSIM Power</t>
  </si>
  <si>
    <t>kW</t>
  </si>
  <si>
    <t>DWSIM Outlet Temperature</t>
  </si>
  <si>
    <t>B. K-102 COMPRESSOR DESIGN CALCULATION</t>
  </si>
  <si>
    <t>°C</t>
  </si>
  <si>
    <t>Pressure Increase</t>
  </si>
  <si>
    <t>Adiabatic Head</t>
  </si>
  <si>
    <t>Compressor Power</t>
  </si>
  <si>
    <t>CALCULATED CAPACITY</t>
  </si>
  <si>
    <t>SIMULATION REFERENCE</t>
  </si>
  <si>
    <t>DWSIM Pressure Ratio</t>
  </si>
  <si>
    <t>DWSIM Power Required</t>
  </si>
  <si>
    <t>DWSIM Rotation Speed</t>
  </si>
  <si>
    <t>rpm</t>
  </si>
  <si>
    <t>PR</t>
  </si>
  <si>
    <t>C. R-101 AMMONIA SYNTHESIS REACTOR DESIGN CALCULATION</t>
  </si>
  <si>
    <t>Outlet Temperature</t>
  </si>
  <si>
    <t>Molar Flow</t>
  </si>
  <si>
    <t>Pressure Drop</t>
  </si>
  <si>
    <t>kmol/h</t>
  </si>
  <si>
    <t>Temperature Change</t>
  </si>
  <si>
    <t>Ammonia Synthesis Extent</t>
  </si>
  <si>
    <t>NH₃ Formation</t>
  </si>
  <si>
    <t>NH₃ Production</t>
  </si>
  <si>
    <t>ΔT</t>
  </si>
  <si>
    <t>ξ</t>
  </si>
  <si>
    <t>ṅNH₃</t>
  </si>
  <si>
    <t>ṁNH₃</t>
  </si>
  <si>
    <t>t/h</t>
  </si>
  <si>
    <t>DWSIM Value</t>
  </si>
  <si>
    <t>Reactor</t>
  </si>
  <si>
    <t>—</t>
  </si>
  <si>
    <t>Reactor Type</t>
  </si>
  <si>
    <t>Equilibrium Reactor</t>
  </si>
  <si>
    <t>Calculation Mode</t>
  </si>
  <si>
    <t>Defined Temperature</t>
  </si>
  <si>
    <t>bar(a)</t>
  </si>
  <si>
    <t>Feed Mass Flow</t>
  </si>
  <si>
    <t>Feed Molar Flow</t>
  </si>
  <si>
    <t>NH₃ Synthesis Extent</t>
  </si>
  <si>
    <t>Calculated NH₃ Formation</t>
  </si>
  <si>
    <t>DWSIM Reactor Volume</t>
  </si>
  <si>
    <t>m³</t>
  </si>
  <si>
    <t>D. V-101 Ammonia Product Separator</t>
  </si>
  <si>
    <t>Vapor Fraction</t>
  </si>
  <si>
    <t>SEPARATOR OUTPUTS</t>
  </si>
  <si>
    <t>Gas Outlet Temperature</t>
  </si>
  <si>
    <t>Gas Outlet Pressure</t>
  </si>
  <si>
    <t>Gas Mass Flow</t>
  </si>
  <si>
    <t>Liquid Mass Flow</t>
  </si>
  <si>
    <t>Gas Molar Flow</t>
  </si>
  <si>
    <t>Liquid Molar Flow</t>
  </si>
  <si>
    <t>VF</t>
  </si>
  <si>
    <t>Gas Flow</t>
  </si>
  <si>
    <t>Liquid Flow</t>
  </si>
  <si>
    <t>Total Flow Check</t>
  </si>
  <si>
    <t>Flow Balance Error</t>
  </si>
  <si>
    <t>Gas Recovery</t>
  </si>
  <si>
    <t>Liquid Recovery</t>
  </si>
  <si>
    <t>ṁᵥ</t>
  </si>
  <si>
    <t>ṁₗ</t>
  </si>
  <si>
    <t>ṁtotal</t>
  </si>
  <si>
    <t>E. P-101 LIQUID AMMONIA PUMP DESIGN CALCULATION</t>
  </si>
  <si>
    <t>Suction Temperature</t>
  </si>
  <si>
    <t>Suction Pressure</t>
  </si>
  <si>
    <t>Liquid Density</t>
  </si>
  <si>
    <t>Volumetric Flow</t>
  </si>
  <si>
    <t>Pump Efficiency</t>
  </si>
  <si>
    <t>Discharge Pressure</t>
  </si>
  <si>
    <t>ρ</t>
  </si>
  <si>
    <t>Q</t>
  </si>
  <si>
    <t>η</t>
  </si>
  <si>
    <t>Hydraulic Power</t>
  </si>
  <si>
    <t>Pump Shaft Power</t>
  </si>
  <si>
    <t>Power with 10% Margin</t>
  </si>
  <si>
    <t>P_hyd</t>
  </si>
  <si>
    <t>P_shaft</t>
  </si>
  <si>
    <t>P_design</t>
  </si>
  <si>
    <t>kg/m³</t>
  </si>
  <si>
    <t>m³/h</t>
  </si>
  <si>
    <t>Pa</t>
  </si>
  <si>
    <t>m³/s</t>
  </si>
  <si>
    <t>04 — UTILITY SUMMARY</t>
  </si>
  <si>
    <t>Utility</t>
  </si>
  <si>
    <t>Electricity</t>
  </si>
  <si>
    <t>Equipment / Service</t>
  </si>
  <si>
    <t>Duty / Consumption</t>
  </si>
  <si>
    <t>Fuel / Heating Utility</t>
  </si>
  <si>
    <t>H-101 — NG Feed Heater</t>
  </si>
  <si>
    <t>DWSIM heat duty</t>
  </si>
  <si>
    <t>H-301 — Primary Reforming Heater</t>
  </si>
  <si>
    <t>H-901 — Methanation Feed Heater</t>
  </si>
  <si>
    <t>H-1101 — NH₃ Synthesis Feed Heater</t>
  </si>
  <si>
    <t>Total Heating Duty</t>
  </si>
  <si>
    <t>Calculated</t>
  </si>
  <si>
    <t>Cooling Utility</t>
  </si>
  <si>
    <t>C-601 — HTS Section Cooler</t>
  </si>
  <si>
    <t>DWSIM duty</t>
  </si>
  <si>
    <t>C-701 — LTS Section Cooler</t>
  </si>
  <si>
    <t>C-801 — CO₂ Removal Cooler</t>
  </si>
  <si>
    <t>C-901 — Methanation Cooler</t>
  </si>
  <si>
    <t>C-1201 — NH₃ Synthesis Loop Cooler</t>
  </si>
  <si>
    <t>Total Cooling Duty</t>
  </si>
  <si>
    <t>K-1001 Compressor</t>
  </si>
  <si>
    <t>DWSIM</t>
  </si>
  <si>
    <t>K-1002 Compressor</t>
  </si>
  <si>
    <t>K-1003 Compressor</t>
  </si>
  <si>
    <t>Total Compressor Power</t>
  </si>
  <si>
    <t>Basis/ Status</t>
  </si>
  <si>
    <t>A. Overall Plant Summary</t>
  </si>
  <si>
    <t>Final Value</t>
  </si>
  <si>
    <t>Conventional Ammonia Plant</t>
  </si>
  <si>
    <t>Simulation Software</t>
  </si>
  <si>
    <t>DWSIM 10.2</t>
  </si>
  <si>
    <t>Simulation Basis</t>
  </si>
  <si>
    <t>Lean final-basis / simplified single-pass</t>
  </si>
  <si>
    <t>Fresh Natural Gas Feed</t>
  </si>
  <si>
    <t>Fresh Air Feed</t>
  </si>
  <si>
    <t>Total Listed Fresh Feed</t>
  </si>
  <si>
    <t>Liquid NH₃ Product</t>
  </si>
  <si>
    <t>Liquid NH₃ Production</t>
  </si>
  <si>
    <t>t/day</t>
  </si>
  <si>
    <t>NH₃ Product Purity</t>
  </si>
  <si>
    <t>mol%</t>
  </si>
  <si>
    <t>NH₃ Product Temperature</t>
  </si>
  <si>
    <t>NH₃ Product Pressure</t>
  </si>
  <si>
    <t>Flow</t>
  </si>
  <si>
    <t>Condition</t>
  </si>
  <si>
    <t>NH₃ Liquid Product</t>
  </si>
  <si>
    <t>30°C, 145 bar(a), 95.4193 mol% NH₃</t>
  </si>
  <si>
    <t>Final Off-Gas</t>
  </si>
  <si>
    <t>30°C, 145 bar(a)</t>
  </si>
  <si>
    <t>CO₂ Removal Outlet</t>
  </si>
  <si>
    <t>CO₂ removal section outlet</t>
  </si>
  <si>
    <t>B. Major Final Outlet Streams</t>
  </si>
  <si>
    <t>C. Energy &amp; Utility Summary</t>
  </si>
  <si>
    <t>MW</t>
  </si>
  <si>
    <t>Internal Heat Recovery — HX-1</t>
  </si>
  <si>
    <t>E. Final Project Performance Indicator</t>
  </si>
  <si>
    <t>KPI</t>
  </si>
  <si>
    <t>Fresh feed basis</t>
  </si>
  <si>
    <t>162.21 t/h</t>
  </si>
  <si>
    <t>NH₃ production</t>
  </si>
  <si>
    <t>5.453 t/h</t>
  </si>
  <si>
    <t>130.875 t/day</t>
  </si>
  <si>
    <t>NH₃ purity</t>
  </si>
  <si>
    <t>95.4193 mol%</t>
  </si>
  <si>
    <t>External heating requirement</t>
  </si>
  <si>
    <t>74.134 MW</t>
  </si>
  <si>
    <t>External cooling requirement</t>
  </si>
  <si>
    <t>136.381 MW</t>
  </si>
  <si>
    <t>Compressor electrical load</t>
  </si>
  <si>
    <t>0.817 MW</t>
  </si>
  <si>
    <t>Internal heat recovery</t>
  </si>
  <si>
    <t>38.743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</si>
</sst>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rgb="FFEDEDED"/>
      <name val="Segoe U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3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horizontal="right" vertical="center" wrapText="1"/>
    </xf>
    <xf numFmtId="0" fontId="4" fillId="0" borderId="0" xfId="0" applyFont="1"/>
    <xf numFmtId="0" fontId="0" fillId="0" borderId="0" xfId="0" quotePrefix="1"/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4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B5C8-AB83-471A-AA75-26574713D778}">
  <dimension ref="A1:I54"/>
  <sheetViews>
    <sheetView topLeftCell="A40" workbookViewId="0">
      <selection activeCell="E49" sqref="E49"/>
    </sheetView>
  </sheetViews>
  <sheetFormatPr defaultRowHeight="14.4" x14ac:dyDescent="0.3"/>
  <sheetData>
    <row r="1" spans="1:9" ht="23.4" x14ac:dyDescent="0.45">
      <c r="A1" s="2" t="s">
        <v>0</v>
      </c>
    </row>
    <row r="2" spans="1:9" x14ac:dyDescent="0.3">
      <c r="A2" s="3"/>
    </row>
    <row r="3" spans="1:9" x14ac:dyDescent="0.3">
      <c r="A3" s="4" t="s">
        <v>1</v>
      </c>
      <c r="D3" s="1" t="s">
        <v>8</v>
      </c>
      <c r="I3" s="1" t="s">
        <v>12</v>
      </c>
    </row>
    <row r="4" spans="1:9" x14ac:dyDescent="0.3">
      <c r="A4" t="s">
        <v>2</v>
      </c>
      <c r="D4" t="s">
        <v>9</v>
      </c>
      <c r="I4" t="s">
        <v>13</v>
      </c>
    </row>
    <row r="5" spans="1:9" x14ac:dyDescent="0.3">
      <c r="A5" t="s">
        <v>3</v>
      </c>
      <c r="D5" s="5">
        <v>1000</v>
      </c>
      <c r="I5" t="s">
        <v>14</v>
      </c>
    </row>
    <row r="6" spans="1:9" x14ac:dyDescent="0.3">
      <c r="A6" t="s">
        <v>4</v>
      </c>
      <c r="D6" s="6">
        <v>41666.699999999997</v>
      </c>
      <c r="I6" t="s">
        <v>15</v>
      </c>
    </row>
    <row r="7" spans="1:9" x14ac:dyDescent="0.3">
      <c r="A7" t="s">
        <v>5</v>
      </c>
      <c r="D7" t="s">
        <v>10</v>
      </c>
      <c r="I7" t="s">
        <v>13</v>
      </c>
    </row>
    <row r="8" spans="1:9" x14ac:dyDescent="0.3">
      <c r="A8" t="s">
        <v>6</v>
      </c>
      <c r="D8" t="s">
        <v>11</v>
      </c>
      <c r="I8" t="s">
        <v>13</v>
      </c>
    </row>
    <row r="9" spans="1:9" x14ac:dyDescent="0.3">
      <c r="A9" t="s">
        <v>7</v>
      </c>
      <c r="D9">
        <v>2.7</v>
      </c>
      <c r="I9" t="s">
        <v>16</v>
      </c>
    </row>
    <row r="13" spans="1:9" ht="23.4" x14ac:dyDescent="0.45">
      <c r="A13" s="2" t="s">
        <v>17</v>
      </c>
    </row>
    <row r="15" spans="1:9" x14ac:dyDescent="0.3">
      <c r="A15" s="3" t="s">
        <v>18</v>
      </c>
      <c r="C15" s="4" t="s">
        <v>19</v>
      </c>
      <c r="E15" s="7" t="s">
        <v>20</v>
      </c>
      <c r="G15" s="8" t="s">
        <v>21</v>
      </c>
    </row>
    <row r="16" spans="1:9" x14ac:dyDescent="0.3">
      <c r="A16" s="9" t="s">
        <v>22</v>
      </c>
      <c r="C16" s="10" t="s">
        <v>23</v>
      </c>
      <c r="E16" s="10" t="s">
        <v>24</v>
      </c>
      <c r="G16" s="10" t="s">
        <v>25</v>
      </c>
    </row>
    <row r="17" spans="1:7" x14ac:dyDescent="0.3">
      <c r="A17" s="9" t="s">
        <v>26</v>
      </c>
      <c r="C17" s="10" t="s">
        <v>27</v>
      </c>
      <c r="E17" s="10" t="s">
        <v>24</v>
      </c>
      <c r="G17" s="10" t="s">
        <v>28</v>
      </c>
    </row>
    <row r="18" spans="1:7" x14ac:dyDescent="0.3">
      <c r="A18" s="9" t="s">
        <v>29</v>
      </c>
      <c r="C18" s="10" t="s">
        <v>30</v>
      </c>
      <c r="E18" s="10" t="s">
        <v>24</v>
      </c>
      <c r="G18" s="10" t="s">
        <v>31</v>
      </c>
    </row>
    <row r="22" spans="1:7" ht="23.4" x14ac:dyDescent="0.45">
      <c r="A22" s="2" t="s">
        <v>32</v>
      </c>
    </row>
    <row r="24" spans="1:7" x14ac:dyDescent="0.3">
      <c r="A24" s="4" t="s">
        <v>33</v>
      </c>
      <c r="D24" s="8" t="s">
        <v>34</v>
      </c>
    </row>
    <row r="25" spans="1:7" x14ac:dyDescent="0.3">
      <c r="A25" s="9" t="s">
        <v>35</v>
      </c>
      <c r="D25" s="10">
        <v>0.93</v>
      </c>
    </row>
    <row r="26" spans="1:7" x14ac:dyDescent="0.3">
      <c r="A26" s="9" t="s">
        <v>36</v>
      </c>
      <c r="D26" s="10">
        <v>3.5000000000000003E-2</v>
      </c>
    </row>
    <row r="27" spans="1:7" x14ac:dyDescent="0.3">
      <c r="A27" s="9" t="s">
        <v>37</v>
      </c>
      <c r="D27" s="10">
        <v>0.01</v>
      </c>
    </row>
    <row r="28" spans="1:7" x14ac:dyDescent="0.3">
      <c r="A28" s="9" t="s">
        <v>38</v>
      </c>
      <c r="D28" s="10">
        <v>3.0000000000000001E-3</v>
      </c>
    </row>
    <row r="29" spans="1:7" x14ac:dyDescent="0.3">
      <c r="A29" s="9" t="s">
        <v>39</v>
      </c>
      <c r="D29" s="10">
        <v>1.4999999999999999E-2</v>
      </c>
    </row>
    <row r="30" spans="1:7" x14ac:dyDescent="0.3">
      <c r="A30" s="9" t="s">
        <v>40</v>
      </c>
      <c r="D30" s="10">
        <v>6.0000000000000001E-3</v>
      </c>
    </row>
    <row r="31" spans="1:7" x14ac:dyDescent="0.3">
      <c r="A31" s="9" t="s">
        <v>41</v>
      </c>
      <c r="D31" s="10">
        <v>3.0000000000000001E-5</v>
      </c>
    </row>
    <row r="32" spans="1:7" x14ac:dyDescent="0.3">
      <c r="A32" s="9" t="s">
        <v>42</v>
      </c>
      <c r="D32" s="10">
        <v>1.0000000000000001E-5</v>
      </c>
    </row>
    <row r="33" spans="1:4" x14ac:dyDescent="0.3">
      <c r="A33" s="9" t="s">
        <v>43</v>
      </c>
      <c r="D33" s="10">
        <v>9.6000000000000002E-4</v>
      </c>
    </row>
    <row r="37" spans="1:4" ht="23.4" x14ac:dyDescent="0.45">
      <c r="A37" s="2" t="s">
        <v>44</v>
      </c>
    </row>
    <row r="39" spans="1:4" x14ac:dyDescent="0.3">
      <c r="A39" s="4" t="s">
        <v>33</v>
      </c>
      <c r="D39" s="8" t="s">
        <v>34</v>
      </c>
    </row>
    <row r="40" spans="1:4" x14ac:dyDescent="0.3">
      <c r="A40" s="9" t="s">
        <v>40</v>
      </c>
      <c r="D40" s="10">
        <v>0.78083999999999998</v>
      </c>
    </row>
    <row r="41" spans="1:4" x14ac:dyDescent="0.3">
      <c r="A41" s="9" t="s">
        <v>45</v>
      </c>
      <c r="D41" s="10">
        <v>0.20946000000000001</v>
      </c>
    </row>
    <row r="42" spans="1:4" x14ac:dyDescent="0.3">
      <c r="A42" s="9" t="s">
        <v>46</v>
      </c>
      <c r="D42" s="10">
        <v>9.3399999999999993E-3</v>
      </c>
    </row>
    <row r="43" spans="1:4" x14ac:dyDescent="0.3">
      <c r="A43" s="9" t="s">
        <v>39</v>
      </c>
      <c r="D43" s="10">
        <v>3.6000000000000002E-4</v>
      </c>
    </row>
    <row r="47" spans="1:4" ht="23.4" x14ac:dyDescent="0.45">
      <c r="A47" s="2" t="s">
        <v>47</v>
      </c>
    </row>
    <row r="49" spans="1:5" x14ac:dyDescent="0.3">
      <c r="A49" s="4" t="s">
        <v>1</v>
      </c>
      <c r="E49" s="8" t="s">
        <v>8</v>
      </c>
    </row>
    <row r="50" spans="1:5" x14ac:dyDescent="0.3">
      <c r="A50" s="9" t="s">
        <v>48</v>
      </c>
      <c r="E50" s="10" t="s">
        <v>49</v>
      </c>
    </row>
    <row r="51" spans="1:5" x14ac:dyDescent="0.3">
      <c r="A51" s="9" t="s">
        <v>50</v>
      </c>
      <c r="E51" s="10" t="s">
        <v>51</v>
      </c>
    </row>
    <row r="52" spans="1:5" x14ac:dyDescent="0.3">
      <c r="A52" s="9" t="s">
        <v>52</v>
      </c>
      <c r="E52" s="10" t="s">
        <v>53</v>
      </c>
    </row>
    <row r="53" spans="1:5" x14ac:dyDescent="0.3">
      <c r="A53" s="9" t="s">
        <v>54</v>
      </c>
      <c r="E53" s="10" t="s">
        <v>23</v>
      </c>
    </row>
    <row r="54" spans="1:5" x14ac:dyDescent="0.3">
      <c r="A54" s="9" t="s">
        <v>55</v>
      </c>
      <c r="E54" s="1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5FBA-5146-4F82-A6BE-04AD8FD12E8A}">
  <dimension ref="A1:S25"/>
  <sheetViews>
    <sheetView workbookViewId="0"/>
  </sheetViews>
  <sheetFormatPr defaultRowHeight="14.4" x14ac:dyDescent="0.3"/>
  <sheetData>
    <row r="1" spans="1:19" ht="23.4" x14ac:dyDescent="0.45">
      <c r="A1" s="2" t="s">
        <v>140</v>
      </c>
    </row>
    <row r="3" spans="1:19" x14ac:dyDescent="0.3">
      <c r="A3" s="4" t="s">
        <v>57</v>
      </c>
      <c r="D3" s="4" t="s">
        <v>73</v>
      </c>
      <c r="G3" s="4" t="s">
        <v>74</v>
      </c>
      <c r="J3" s="8" t="s">
        <v>58</v>
      </c>
      <c r="L3" s="8" t="s">
        <v>92</v>
      </c>
      <c r="O3" s="8" t="s">
        <v>59</v>
      </c>
      <c r="Q3" s="4" t="s">
        <v>93</v>
      </c>
      <c r="S3" s="8" t="s">
        <v>75</v>
      </c>
    </row>
    <row r="4" spans="1:19" x14ac:dyDescent="0.3">
      <c r="A4" s="11" t="s">
        <v>22</v>
      </c>
      <c r="D4" s="9" t="s">
        <v>76</v>
      </c>
      <c r="G4" s="9" t="s">
        <v>94</v>
      </c>
      <c r="J4" s="10">
        <v>30</v>
      </c>
      <c r="L4" s="10">
        <v>40</v>
      </c>
      <c r="O4" s="12">
        <v>30000</v>
      </c>
      <c r="Q4" s="9" t="s">
        <v>95</v>
      </c>
      <c r="S4" s="10">
        <v>0</v>
      </c>
    </row>
    <row r="5" spans="1:19" x14ac:dyDescent="0.3">
      <c r="A5" s="11" t="s">
        <v>26</v>
      </c>
      <c r="D5" s="9" t="s">
        <v>96</v>
      </c>
      <c r="G5" s="9" t="s">
        <v>77</v>
      </c>
      <c r="J5" s="10">
        <v>400</v>
      </c>
      <c r="L5" s="10">
        <v>40</v>
      </c>
      <c r="O5" s="12">
        <v>87210</v>
      </c>
      <c r="Q5" s="9" t="s">
        <v>95</v>
      </c>
      <c r="S5" s="10">
        <v>0</v>
      </c>
    </row>
    <row r="6" spans="1:19" x14ac:dyDescent="0.3">
      <c r="A6" s="11" t="s">
        <v>29</v>
      </c>
      <c r="D6" s="9" t="s">
        <v>78</v>
      </c>
      <c r="G6" s="9" t="s">
        <v>79</v>
      </c>
      <c r="J6" s="10">
        <v>25</v>
      </c>
      <c r="L6" s="10">
        <v>40</v>
      </c>
      <c r="O6" s="12">
        <v>45000</v>
      </c>
      <c r="Q6" s="9" t="s">
        <v>95</v>
      </c>
      <c r="S6" s="10">
        <v>0</v>
      </c>
    </row>
    <row r="7" spans="1:19" x14ac:dyDescent="0.3">
      <c r="A7" s="11" t="s">
        <v>97</v>
      </c>
      <c r="D7" s="9" t="s">
        <v>94</v>
      </c>
      <c r="G7" s="9" t="s">
        <v>77</v>
      </c>
      <c r="J7" s="10">
        <v>350</v>
      </c>
      <c r="L7" s="10">
        <v>39.5</v>
      </c>
      <c r="O7" s="12">
        <v>30000</v>
      </c>
      <c r="Q7" s="9" t="s">
        <v>95</v>
      </c>
      <c r="S7" s="10">
        <v>0</v>
      </c>
    </row>
    <row r="8" spans="1:19" x14ac:dyDescent="0.3">
      <c r="A8" s="11" t="s">
        <v>98</v>
      </c>
      <c r="D8" s="9" t="s">
        <v>94</v>
      </c>
      <c r="G8" s="9" t="s">
        <v>77</v>
      </c>
      <c r="J8" s="10">
        <v>350</v>
      </c>
      <c r="L8" s="10">
        <v>39.5</v>
      </c>
      <c r="O8" s="13">
        <v>29997.200000000001</v>
      </c>
      <c r="Q8" s="9" t="s">
        <v>95</v>
      </c>
      <c r="S8" s="10">
        <v>0</v>
      </c>
    </row>
    <row r="9" spans="1:19" x14ac:dyDescent="0.3">
      <c r="A9" s="11" t="s">
        <v>99</v>
      </c>
      <c r="D9" s="9" t="s">
        <v>100</v>
      </c>
      <c r="G9" s="9" t="s">
        <v>81</v>
      </c>
      <c r="J9" s="10">
        <v>850</v>
      </c>
      <c r="L9" s="10">
        <v>37</v>
      </c>
      <c r="O9" s="12">
        <v>117207</v>
      </c>
      <c r="Q9" s="9" t="s">
        <v>95</v>
      </c>
      <c r="S9" s="10">
        <v>0</v>
      </c>
    </row>
    <row r="10" spans="1:19" x14ac:dyDescent="0.3">
      <c r="A10" s="11" t="s">
        <v>101</v>
      </c>
      <c r="D10" s="9" t="s">
        <v>81</v>
      </c>
      <c r="G10" s="9" t="s">
        <v>102</v>
      </c>
      <c r="J10" s="10">
        <v>850</v>
      </c>
      <c r="L10" s="10">
        <v>36.5</v>
      </c>
      <c r="O10" s="12">
        <v>117207</v>
      </c>
      <c r="Q10" s="9" t="s">
        <v>95</v>
      </c>
      <c r="S10" s="10">
        <v>0</v>
      </c>
    </row>
    <row r="11" spans="1:19" x14ac:dyDescent="0.3">
      <c r="A11" s="11" t="s">
        <v>80</v>
      </c>
      <c r="D11" s="9" t="s">
        <v>102</v>
      </c>
      <c r="G11" s="9" t="s">
        <v>83</v>
      </c>
      <c r="J11" s="10">
        <v>961.75</v>
      </c>
      <c r="L11" s="10">
        <v>36.5</v>
      </c>
      <c r="O11" s="12">
        <v>162279</v>
      </c>
      <c r="Q11" s="9" t="s">
        <v>95</v>
      </c>
      <c r="S11" s="10">
        <v>0</v>
      </c>
    </row>
    <row r="12" spans="1:19" x14ac:dyDescent="0.3">
      <c r="A12" s="11" t="s">
        <v>82</v>
      </c>
      <c r="D12" s="9" t="s">
        <v>102</v>
      </c>
      <c r="G12" s="9" t="s">
        <v>83</v>
      </c>
      <c r="J12" s="10">
        <v>616.53</v>
      </c>
      <c r="L12" s="10">
        <v>35.5</v>
      </c>
      <c r="O12" s="12">
        <v>162279</v>
      </c>
      <c r="Q12" s="9" t="s">
        <v>95</v>
      </c>
      <c r="S12" s="10">
        <v>0</v>
      </c>
    </row>
    <row r="13" spans="1:19" x14ac:dyDescent="0.3">
      <c r="A13" s="11" t="s">
        <v>84</v>
      </c>
      <c r="D13" s="9" t="s">
        <v>83</v>
      </c>
      <c r="G13" s="9" t="s">
        <v>85</v>
      </c>
      <c r="J13" s="10">
        <v>350</v>
      </c>
      <c r="L13" s="10">
        <v>35</v>
      </c>
      <c r="O13" s="12">
        <v>162279</v>
      </c>
      <c r="Q13" s="9" t="s">
        <v>95</v>
      </c>
      <c r="S13" s="10">
        <v>0</v>
      </c>
    </row>
    <row r="14" spans="1:19" x14ac:dyDescent="0.3">
      <c r="A14" s="11" t="s">
        <v>60</v>
      </c>
      <c r="D14" s="9" t="s">
        <v>85</v>
      </c>
      <c r="G14" s="9" t="s">
        <v>86</v>
      </c>
      <c r="J14" s="10">
        <v>235.02</v>
      </c>
      <c r="L14" s="10">
        <v>34.5</v>
      </c>
      <c r="O14" s="12">
        <v>162279</v>
      </c>
      <c r="Q14" s="9" t="s">
        <v>95</v>
      </c>
      <c r="S14" s="10">
        <v>0</v>
      </c>
    </row>
    <row r="15" spans="1:19" x14ac:dyDescent="0.3">
      <c r="A15" s="11" t="s">
        <v>61</v>
      </c>
      <c r="D15" s="9" t="s">
        <v>86</v>
      </c>
      <c r="G15" s="9" t="s">
        <v>103</v>
      </c>
      <c r="J15" s="10">
        <v>40</v>
      </c>
      <c r="L15" s="10">
        <v>34.5</v>
      </c>
      <c r="O15" s="13">
        <v>88856.2</v>
      </c>
      <c r="Q15" s="9" t="s">
        <v>104</v>
      </c>
      <c r="S15" s="10">
        <v>0</v>
      </c>
    </row>
    <row r="16" spans="1:19" x14ac:dyDescent="0.3">
      <c r="A16" s="11" t="s">
        <v>63</v>
      </c>
      <c r="D16" s="9" t="s">
        <v>103</v>
      </c>
      <c r="G16" s="9" t="s">
        <v>87</v>
      </c>
      <c r="J16" s="10">
        <v>40</v>
      </c>
      <c r="L16" s="10">
        <v>34.5</v>
      </c>
      <c r="O16" s="13">
        <v>50605.1</v>
      </c>
      <c r="Q16" s="9" t="s">
        <v>95</v>
      </c>
      <c r="S16" s="10">
        <v>0</v>
      </c>
    </row>
    <row r="17" spans="1:19" x14ac:dyDescent="0.3">
      <c r="A17" s="11" t="s">
        <v>65</v>
      </c>
      <c r="D17" s="9" t="s">
        <v>87</v>
      </c>
      <c r="G17" s="9" t="s">
        <v>89</v>
      </c>
      <c r="J17" s="10">
        <v>40</v>
      </c>
      <c r="L17" s="10">
        <v>34</v>
      </c>
      <c r="O17" s="13">
        <v>50605.1</v>
      </c>
      <c r="Q17" s="9" t="s">
        <v>104</v>
      </c>
      <c r="S17" s="10">
        <v>0</v>
      </c>
    </row>
    <row r="18" spans="1:19" x14ac:dyDescent="0.3">
      <c r="A18" s="11" t="s">
        <v>105</v>
      </c>
      <c r="D18" s="9" t="s">
        <v>106</v>
      </c>
      <c r="G18" s="9" t="s">
        <v>107</v>
      </c>
      <c r="J18" s="10">
        <v>40</v>
      </c>
      <c r="L18" s="10">
        <v>91</v>
      </c>
      <c r="O18" s="13">
        <v>43250.5</v>
      </c>
      <c r="Q18" s="9" t="s">
        <v>95</v>
      </c>
      <c r="S18" s="10">
        <v>0</v>
      </c>
    </row>
    <row r="19" spans="1:19" x14ac:dyDescent="0.3">
      <c r="A19" s="11" t="s">
        <v>88</v>
      </c>
      <c r="D19" s="9" t="s">
        <v>89</v>
      </c>
      <c r="G19" s="9" t="s">
        <v>108</v>
      </c>
      <c r="J19" s="10">
        <v>40</v>
      </c>
      <c r="L19" s="10">
        <v>149</v>
      </c>
      <c r="O19" s="13">
        <v>43227.4</v>
      </c>
      <c r="Q19" s="9" t="s">
        <v>95</v>
      </c>
      <c r="S19" s="10">
        <v>0</v>
      </c>
    </row>
    <row r="20" spans="1:19" x14ac:dyDescent="0.3">
      <c r="A20" s="11" t="s">
        <v>90</v>
      </c>
      <c r="D20" s="9" t="s">
        <v>69</v>
      </c>
      <c r="G20" s="9" t="s">
        <v>66</v>
      </c>
      <c r="J20" s="10">
        <v>396.31</v>
      </c>
      <c r="L20" s="10">
        <v>149</v>
      </c>
      <c r="O20" s="13">
        <v>43227.4</v>
      </c>
      <c r="Q20" s="9" t="s">
        <v>95</v>
      </c>
      <c r="S20" s="10">
        <v>0</v>
      </c>
    </row>
    <row r="21" spans="1:19" x14ac:dyDescent="0.3">
      <c r="A21" s="11" t="s">
        <v>68</v>
      </c>
      <c r="D21" s="9" t="s">
        <v>67</v>
      </c>
      <c r="G21" s="9" t="s">
        <v>109</v>
      </c>
      <c r="J21" s="10">
        <v>430</v>
      </c>
      <c r="L21" s="10">
        <v>147</v>
      </c>
      <c r="O21" s="13">
        <v>43227.4</v>
      </c>
      <c r="Q21" s="9" t="s">
        <v>95</v>
      </c>
      <c r="S21" s="10">
        <v>20.869</v>
      </c>
    </row>
    <row r="22" spans="1:19" x14ac:dyDescent="0.3">
      <c r="A22" s="11" t="s">
        <v>91</v>
      </c>
      <c r="D22" s="9" t="s">
        <v>110</v>
      </c>
      <c r="G22" s="9" t="s">
        <v>111</v>
      </c>
      <c r="J22" s="10">
        <v>30</v>
      </c>
      <c r="L22" s="10">
        <v>145</v>
      </c>
      <c r="O22" s="13">
        <v>43226.5</v>
      </c>
      <c r="Q22" s="9" t="s">
        <v>104</v>
      </c>
      <c r="S22" s="10">
        <v>20.87</v>
      </c>
    </row>
    <row r="23" spans="1:19" x14ac:dyDescent="0.3">
      <c r="A23" s="11" t="s">
        <v>71</v>
      </c>
      <c r="D23" s="9" t="s">
        <v>111</v>
      </c>
      <c r="G23" s="9" t="s">
        <v>112</v>
      </c>
      <c r="J23" s="10">
        <v>30</v>
      </c>
      <c r="L23" s="10">
        <v>145</v>
      </c>
      <c r="O23" s="13">
        <v>37773.599999999999</v>
      </c>
      <c r="Q23" s="9" t="s">
        <v>95</v>
      </c>
      <c r="S23" s="10">
        <v>14.712</v>
      </c>
    </row>
    <row r="24" spans="1:19" x14ac:dyDescent="0.3">
      <c r="A24" s="11" t="s">
        <v>113</v>
      </c>
      <c r="D24" s="9" t="s">
        <v>114</v>
      </c>
      <c r="G24" s="9" t="s">
        <v>115</v>
      </c>
      <c r="J24" s="10">
        <v>30</v>
      </c>
      <c r="L24" s="10">
        <v>145</v>
      </c>
      <c r="O24" s="13">
        <v>1133.21</v>
      </c>
      <c r="Q24" s="9" t="s">
        <v>95</v>
      </c>
      <c r="S24" s="10">
        <v>14.712</v>
      </c>
    </row>
    <row r="25" spans="1:19" x14ac:dyDescent="0.3">
      <c r="A25" s="11" t="s">
        <v>72</v>
      </c>
      <c r="D25" s="9" t="s">
        <v>111</v>
      </c>
      <c r="G25" s="9" t="s">
        <v>116</v>
      </c>
      <c r="J25" s="10">
        <v>30</v>
      </c>
      <c r="L25" s="10">
        <v>145</v>
      </c>
      <c r="O25" s="14">
        <v>5453.12</v>
      </c>
      <c r="Q25" s="9" t="s">
        <v>117</v>
      </c>
      <c r="S25" s="8">
        <v>95.419300000000007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3F1D-B586-47A8-80FA-C6DC954E28F2}">
  <dimension ref="A1:W47"/>
  <sheetViews>
    <sheetView workbookViewId="0">
      <selection sqref="A1:C1"/>
    </sheetView>
  </sheetViews>
  <sheetFormatPr defaultRowHeight="14.4" x14ac:dyDescent="0.3"/>
  <cols>
    <col min="3" max="3" width="10.44140625" bestFit="1" customWidth="1"/>
    <col min="5" max="5" width="10.44140625" bestFit="1" customWidth="1"/>
    <col min="7" max="7" width="10.44140625" bestFit="1" customWidth="1"/>
    <col min="15" max="15" width="10.44140625" bestFit="1" customWidth="1"/>
  </cols>
  <sheetData>
    <row r="1" spans="1:17" ht="23.4" x14ac:dyDescent="0.45">
      <c r="A1" s="2" t="s">
        <v>118</v>
      </c>
    </row>
    <row r="3" spans="1:17" x14ac:dyDescent="0.3">
      <c r="A3" s="4" t="s">
        <v>135</v>
      </c>
      <c r="C3" s="1" t="s">
        <v>126</v>
      </c>
      <c r="D3" s="4"/>
      <c r="E3" s="1" t="s">
        <v>128</v>
      </c>
      <c r="G3" s="1" t="s">
        <v>127</v>
      </c>
      <c r="I3" s="4"/>
      <c r="O3" s="8"/>
      <c r="Q3" s="8"/>
    </row>
    <row r="4" spans="1:17" x14ac:dyDescent="0.3">
      <c r="A4" s="9" t="s">
        <v>121</v>
      </c>
      <c r="C4" s="5">
        <v>117207</v>
      </c>
      <c r="D4" s="9"/>
      <c r="E4" s="5">
        <v>117207</v>
      </c>
      <c r="G4" s="5">
        <f t="shared" ref="G4:G13" si="0">C4-E4</f>
        <v>0</v>
      </c>
      <c r="I4" s="9"/>
      <c r="O4" s="13"/>
      <c r="Q4" s="8"/>
    </row>
    <row r="5" spans="1:17" x14ac:dyDescent="0.3">
      <c r="A5" s="9" t="s">
        <v>122</v>
      </c>
      <c r="C5" s="5">
        <v>162207</v>
      </c>
      <c r="D5" s="9"/>
      <c r="E5" s="5">
        <v>162279</v>
      </c>
      <c r="G5" s="13">
        <f t="shared" si="0"/>
        <v>-72</v>
      </c>
      <c r="I5" s="9"/>
      <c r="L5" s="13"/>
      <c r="O5" s="13"/>
      <c r="Q5" s="10"/>
    </row>
    <row r="6" spans="1:17" x14ac:dyDescent="0.3">
      <c r="A6" s="9" t="s">
        <v>129</v>
      </c>
      <c r="C6">
        <v>162279</v>
      </c>
      <c r="D6" s="9"/>
      <c r="E6">
        <v>162279</v>
      </c>
      <c r="G6" s="13">
        <f t="shared" si="0"/>
        <v>0</v>
      </c>
      <c r="I6" s="9"/>
      <c r="O6" s="13"/>
      <c r="Q6" s="10"/>
    </row>
    <row r="7" spans="1:17" x14ac:dyDescent="0.3">
      <c r="A7" s="9" t="s">
        <v>130</v>
      </c>
      <c r="C7">
        <v>162279</v>
      </c>
      <c r="D7" s="9"/>
      <c r="E7">
        <v>162279</v>
      </c>
      <c r="G7" s="13">
        <f t="shared" si="0"/>
        <v>0</v>
      </c>
      <c r="I7" s="9"/>
      <c r="O7" s="13"/>
      <c r="Q7" s="8"/>
    </row>
    <row r="8" spans="1:17" x14ac:dyDescent="0.3">
      <c r="A8" s="9" t="s">
        <v>62</v>
      </c>
      <c r="C8" s="6">
        <v>162279</v>
      </c>
      <c r="D8" s="9"/>
      <c r="E8" s="6">
        <v>162279.4</v>
      </c>
      <c r="G8" s="13">
        <f t="shared" si="0"/>
        <v>-0.39999999999417923</v>
      </c>
      <c r="I8" s="9"/>
      <c r="O8" s="13"/>
      <c r="Q8" s="8"/>
    </row>
    <row r="9" spans="1:17" x14ac:dyDescent="0.3">
      <c r="A9" s="9" t="s">
        <v>131</v>
      </c>
      <c r="C9">
        <v>88856.2</v>
      </c>
      <c r="D9" s="9"/>
      <c r="E9">
        <v>88856.2</v>
      </c>
      <c r="G9" s="13">
        <f t="shared" si="0"/>
        <v>0</v>
      </c>
      <c r="I9" s="9"/>
      <c r="O9" s="13"/>
      <c r="Q9" s="8"/>
    </row>
    <row r="10" spans="1:17" x14ac:dyDescent="0.3">
      <c r="A10" s="9" t="s">
        <v>132</v>
      </c>
      <c r="C10">
        <v>5060.1000000000004</v>
      </c>
      <c r="D10" s="9"/>
      <c r="E10">
        <v>5060.1000000000004</v>
      </c>
      <c r="G10" s="13">
        <f t="shared" si="0"/>
        <v>0</v>
      </c>
      <c r="I10" s="9"/>
      <c r="O10" s="13"/>
      <c r="Q10" s="10"/>
    </row>
    <row r="11" spans="1:17" x14ac:dyDescent="0.3">
      <c r="A11" s="9" t="s">
        <v>133</v>
      </c>
      <c r="C11">
        <v>43357.9</v>
      </c>
      <c r="D11" s="9"/>
      <c r="E11">
        <v>43357.9</v>
      </c>
      <c r="G11" s="13">
        <f t="shared" si="0"/>
        <v>0</v>
      </c>
      <c r="I11" s="9"/>
      <c r="O11" s="13"/>
      <c r="Q11" s="10"/>
    </row>
    <row r="12" spans="1:17" x14ac:dyDescent="0.3">
      <c r="A12" s="9" t="s">
        <v>124</v>
      </c>
      <c r="C12">
        <v>43293.8</v>
      </c>
      <c r="D12" s="9"/>
      <c r="E12">
        <v>43293.8</v>
      </c>
      <c r="G12" s="13">
        <f t="shared" si="0"/>
        <v>0</v>
      </c>
      <c r="I12" s="9"/>
      <c r="O12" s="13"/>
      <c r="Q12" s="8"/>
    </row>
    <row r="13" spans="1:17" x14ac:dyDescent="0.3">
      <c r="A13" s="9" t="s">
        <v>125</v>
      </c>
      <c r="C13">
        <v>43250.5</v>
      </c>
      <c r="D13" s="9"/>
      <c r="E13">
        <v>43250.5</v>
      </c>
      <c r="G13" s="13">
        <f t="shared" si="0"/>
        <v>0</v>
      </c>
      <c r="I13" s="9"/>
      <c r="O13" s="13"/>
      <c r="Q13" s="10"/>
    </row>
    <row r="14" spans="1:17" x14ac:dyDescent="0.3">
      <c r="A14" s="9"/>
      <c r="D14" s="9"/>
      <c r="G14" s="13"/>
      <c r="I14" s="9"/>
      <c r="O14" s="13"/>
      <c r="Q14" s="8"/>
    </row>
    <row r="15" spans="1:17" x14ac:dyDescent="0.3">
      <c r="A15" s="9"/>
      <c r="D15" s="9"/>
      <c r="G15" s="13"/>
      <c r="I15" s="9"/>
      <c r="O15" s="10"/>
      <c r="Q15" s="10"/>
    </row>
    <row r="16" spans="1:17" x14ac:dyDescent="0.3">
      <c r="A16" s="9"/>
      <c r="D16" s="9"/>
      <c r="G16" s="13"/>
      <c r="I16" s="9"/>
      <c r="O16" s="10"/>
      <c r="Q16" s="8"/>
    </row>
    <row r="17" spans="1:21" ht="23.4" x14ac:dyDescent="0.45">
      <c r="A17" s="2" t="s">
        <v>134</v>
      </c>
    </row>
    <row r="19" spans="1:21" x14ac:dyDescent="0.3">
      <c r="A19" s="4" t="s">
        <v>135</v>
      </c>
      <c r="C19" s="1" t="s">
        <v>136</v>
      </c>
      <c r="E19" s="1" t="s">
        <v>137</v>
      </c>
      <c r="G19" s="1" t="s">
        <v>119</v>
      </c>
      <c r="J19" s="7" t="s">
        <v>138</v>
      </c>
      <c r="L19" s="16" t="s">
        <v>138</v>
      </c>
    </row>
    <row r="20" spans="1:21" x14ac:dyDescent="0.3">
      <c r="A20" t="s">
        <v>120</v>
      </c>
      <c r="C20">
        <v>378.21800000000002</v>
      </c>
      <c r="E20">
        <v>850</v>
      </c>
      <c r="G20" s="6">
        <v>41923.599999999999</v>
      </c>
      <c r="J20">
        <f t="shared" ref="J20:J29" si="1">E20-C20</f>
        <v>471.78199999999998</v>
      </c>
    </row>
    <row r="21" spans="1:21" x14ac:dyDescent="0.3">
      <c r="A21" t="s">
        <v>122</v>
      </c>
      <c r="C21">
        <v>749.81899999999996</v>
      </c>
      <c r="E21">
        <v>961.74900000000002</v>
      </c>
      <c r="G21">
        <v>53.85</v>
      </c>
      <c r="J21">
        <f t="shared" si="1"/>
        <v>211.93000000000006</v>
      </c>
    </row>
    <row r="22" spans="1:21" x14ac:dyDescent="0.3">
      <c r="A22" t="s">
        <v>129</v>
      </c>
      <c r="C22">
        <v>350</v>
      </c>
      <c r="D22" s="8"/>
      <c r="E22">
        <v>350</v>
      </c>
      <c r="F22" s="8"/>
      <c r="G22" s="6">
        <v>-10634.69</v>
      </c>
      <c r="H22" s="8"/>
      <c r="J22">
        <f t="shared" si="1"/>
        <v>0</v>
      </c>
      <c r="K22" s="8"/>
      <c r="M22" s="1"/>
    </row>
    <row r="23" spans="1:21" x14ac:dyDescent="0.3">
      <c r="A23" s="15" t="s">
        <v>130</v>
      </c>
      <c r="C23">
        <v>220</v>
      </c>
      <c r="D23" s="10"/>
      <c r="E23">
        <v>235.01900000000001</v>
      </c>
      <c r="F23" s="10"/>
      <c r="G23">
        <v>0</v>
      </c>
      <c r="H23" s="13"/>
      <c r="J23">
        <f t="shared" si="1"/>
        <v>15.019000000000005</v>
      </c>
      <c r="K23" s="10"/>
      <c r="N23" s="10"/>
      <c r="O23" s="3"/>
      <c r="P23" s="7"/>
      <c r="Q23" s="7"/>
      <c r="R23" s="7"/>
      <c r="S23" s="7"/>
    </row>
    <row r="24" spans="1:21" x14ac:dyDescent="0.3">
      <c r="A24" s="9" t="s">
        <v>123</v>
      </c>
      <c r="C24">
        <v>235.01900000000001</v>
      </c>
      <c r="E24">
        <v>40</v>
      </c>
      <c r="G24">
        <v>-45714.07</v>
      </c>
      <c r="H24" s="6"/>
      <c r="J24">
        <f t="shared" si="1"/>
        <v>-195.01900000000001</v>
      </c>
      <c r="N24" s="10"/>
      <c r="O24" s="18"/>
      <c r="P24" s="17"/>
      <c r="Q24" s="17"/>
      <c r="R24" s="19"/>
      <c r="S24" s="7"/>
    </row>
    <row r="25" spans="1:21" x14ac:dyDescent="0.3">
      <c r="A25" t="s">
        <v>64</v>
      </c>
      <c r="C25">
        <v>40</v>
      </c>
      <c r="E25">
        <v>420</v>
      </c>
      <c r="G25">
        <v>23295.68</v>
      </c>
      <c r="H25" s="6"/>
      <c r="J25">
        <f t="shared" si="1"/>
        <v>380</v>
      </c>
      <c r="N25" s="10"/>
    </row>
    <row r="26" spans="1:21" x14ac:dyDescent="0.3">
      <c r="A26" t="s">
        <v>132</v>
      </c>
      <c r="C26">
        <v>420</v>
      </c>
      <c r="E26">
        <v>852.09299999999996</v>
      </c>
      <c r="G26">
        <v>0</v>
      </c>
      <c r="H26" s="6"/>
      <c r="J26">
        <f t="shared" si="1"/>
        <v>432.09299999999996</v>
      </c>
      <c r="N26" s="10"/>
      <c r="U26" s="8"/>
    </row>
    <row r="27" spans="1:21" x14ac:dyDescent="0.3">
      <c r="A27" t="s">
        <v>66</v>
      </c>
      <c r="C27">
        <v>396.30500000000001</v>
      </c>
      <c r="E27">
        <v>430</v>
      </c>
      <c r="G27">
        <v>1565.74</v>
      </c>
      <c r="H27" s="6"/>
      <c r="J27">
        <f t="shared" si="1"/>
        <v>33.694999999999993</v>
      </c>
      <c r="N27" s="10"/>
    </row>
    <row r="28" spans="1:21" x14ac:dyDescent="0.3">
      <c r="A28" t="s">
        <v>67</v>
      </c>
      <c r="C28">
        <v>430</v>
      </c>
      <c r="D28" s="10"/>
      <c r="E28">
        <v>430</v>
      </c>
      <c r="F28" s="10"/>
      <c r="G28">
        <v>-13226.89</v>
      </c>
      <c r="H28" s="13"/>
      <c r="J28">
        <f t="shared" si="1"/>
        <v>0</v>
      </c>
      <c r="N28" s="10"/>
    </row>
    <row r="29" spans="1:21" x14ac:dyDescent="0.3">
      <c r="A29" s="9" t="s">
        <v>70</v>
      </c>
      <c r="C29">
        <v>200</v>
      </c>
      <c r="E29">
        <v>30</v>
      </c>
      <c r="G29">
        <v>-2450.61</v>
      </c>
      <c r="H29" s="6"/>
      <c r="J29">
        <f t="shared" si="1"/>
        <v>-170</v>
      </c>
      <c r="N29" s="10"/>
    </row>
    <row r="30" spans="1:21" x14ac:dyDescent="0.3">
      <c r="N30" s="10"/>
    </row>
    <row r="31" spans="1:21" x14ac:dyDescent="0.3">
      <c r="K31" s="10"/>
    </row>
    <row r="33" spans="1:23" x14ac:dyDescent="0.3">
      <c r="H33" s="6"/>
    </row>
    <row r="34" spans="1:23" x14ac:dyDescent="0.3">
      <c r="D34" s="10"/>
      <c r="F34" s="10"/>
      <c r="H34" s="10"/>
      <c r="K34" s="10"/>
      <c r="M34" s="9"/>
      <c r="P34" s="10"/>
      <c r="R34" s="10"/>
      <c r="T34" s="13"/>
      <c r="W34" s="10"/>
    </row>
    <row r="35" spans="1:23" x14ac:dyDescent="0.3">
      <c r="A35" s="4" t="s">
        <v>135</v>
      </c>
      <c r="C35" s="1" t="s">
        <v>136</v>
      </c>
      <c r="E35" s="1" t="s">
        <v>137</v>
      </c>
      <c r="G35" s="1" t="s">
        <v>139</v>
      </c>
      <c r="J35" s="7" t="s">
        <v>138</v>
      </c>
      <c r="K35" s="10"/>
    </row>
    <row r="36" spans="1:23" x14ac:dyDescent="0.3">
      <c r="A36" t="s">
        <v>133</v>
      </c>
      <c r="C36">
        <v>40</v>
      </c>
      <c r="E36">
        <v>270.01</v>
      </c>
      <c r="G36">
        <v>266.26</v>
      </c>
      <c r="H36" s="6"/>
      <c r="J36">
        <f>E36-C36</f>
        <v>230.01</v>
      </c>
      <c r="K36" s="10"/>
    </row>
    <row r="37" spans="1:23" x14ac:dyDescent="0.3">
      <c r="A37" t="s">
        <v>124</v>
      </c>
      <c r="C37">
        <v>40</v>
      </c>
      <c r="E37">
        <v>304.06799999999998</v>
      </c>
      <c r="G37">
        <v>194.77</v>
      </c>
      <c r="H37" s="6"/>
      <c r="J37">
        <f>E37-C37</f>
        <v>264.06799999999998</v>
      </c>
      <c r="K37" s="13"/>
    </row>
    <row r="38" spans="1:23" x14ac:dyDescent="0.3">
      <c r="A38" t="s">
        <v>125</v>
      </c>
      <c r="C38">
        <v>40</v>
      </c>
      <c r="E38">
        <v>342.01100000000002</v>
      </c>
      <c r="G38">
        <v>355.79</v>
      </c>
      <c r="H38" s="5"/>
      <c r="J38">
        <f>E38-C38</f>
        <v>302.01100000000002</v>
      </c>
      <c r="K38" s="10"/>
    </row>
    <row r="39" spans="1:23" x14ac:dyDescent="0.3">
      <c r="A39" s="9"/>
      <c r="D39" s="10"/>
      <c r="F39" s="10"/>
      <c r="H39" s="10"/>
      <c r="K39" s="13"/>
    </row>
    <row r="40" spans="1:23" x14ac:dyDescent="0.3">
      <c r="A40" s="9"/>
      <c r="D40" s="10"/>
      <c r="F40" s="10"/>
    </row>
    <row r="41" spans="1:23" x14ac:dyDescent="0.3">
      <c r="A41" s="9"/>
      <c r="D41" s="10"/>
      <c r="F41" s="10"/>
    </row>
    <row r="42" spans="1:23" x14ac:dyDescent="0.3">
      <c r="D42" s="10"/>
      <c r="F42" s="10"/>
    </row>
    <row r="43" spans="1:23" x14ac:dyDescent="0.3">
      <c r="A43" s="9"/>
      <c r="D43" s="10"/>
      <c r="F43" s="10"/>
    </row>
    <row r="44" spans="1:23" x14ac:dyDescent="0.3">
      <c r="A44" s="9"/>
      <c r="D44" s="10"/>
      <c r="F44" s="10"/>
    </row>
    <row r="45" spans="1:23" x14ac:dyDescent="0.3">
      <c r="A45" s="9"/>
      <c r="D45" s="10"/>
      <c r="F45" s="10"/>
    </row>
    <row r="46" spans="1:23" x14ac:dyDescent="0.3">
      <c r="A46" s="9"/>
      <c r="D46" s="10"/>
      <c r="F46" s="10"/>
      <c r="K46" s="6"/>
    </row>
    <row r="47" spans="1:23" x14ac:dyDescent="0.3">
      <c r="A47" s="9"/>
      <c r="D47" s="10"/>
      <c r="F47" s="10"/>
      <c r="H4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0509-02BB-4F14-9B5A-8A34E7137061}">
  <dimension ref="A1:T99"/>
  <sheetViews>
    <sheetView workbookViewId="0"/>
  </sheetViews>
  <sheetFormatPr defaultRowHeight="14.4" x14ac:dyDescent="0.3"/>
  <sheetData>
    <row r="1" spans="1:15" ht="23.4" x14ac:dyDescent="0.45">
      <c r="A1" s="2" t="s">
        <v>141</v>
      </c>
      <c r="K1" s="2" t="s">
        <v>185</v>
      </c>
    </row>
    <row r="3" spans="1:15" ht="18" x14ac:dyDescent="0.35">
      <c r="A3" s="20" t="s">
        <v>142</v>
      </c>
      <c r="K3" s="20" t="s">
        <v>142</v>
      </c>
    </row>
    <row r="4" spans="1:15" x14ac:dyDescent="0.3">
      <c r="A4" t="s">
        <v>143</v>
      </c>
      <c r="C4" t="s">
        <v>144</v>
      </c>
      <c r="D4">
        <v>34</v>
      </c>
      <c r="E4" t="s">
        <v>145</v>
      </c>
      <c r="K4" t="s">
        <v>143</v>
      </c>
      <c r="M4" t="s">
        <v>144</v>
      </c>
      <c r="N4">
        <v>54</v>
      </c>
      <c r="O4" t="s">
        <v>145</v>
      </c>
    </row>
    <row r="5" spans="1:15" x14ac:dyDescent="0.3">
      <c r="A5" t="s">
        <v>146</v>
      </c>
      <c r="C5" t="s">
        <v>147</v>
      </c>
      <c r="D5">
        <v>55</v>
      </c>
      <c r="E5" t="s">
        <v>145</v>
      </c>
      <c r="K5" t="s">
        <v>146</v>
      </c>
      <c r="M5" t="s">
        <v>147</v>
      </c>
      <c r="N5">
        <v>91</v>
      </c>
      <c r="O5" t="s">
        <v>145</v>
      </c>
    </row>
    <row r="6" spans="1:15" x14ac:dyDescent="0.3">
      <c r="A6" t="s">
        <v>148</v>
      </c>
      <c r="C6" t="s">
        <v>149</v>
      </c>
      <c r="D6">
        <v>40</v>
      </c>
      <c r="E6" t="s">
        <v>150</v>
      </c>
      <c r="K6" t="s">
        <v>148</v>
      </c>
      <c r="M6" t="s">
        <v>149</v>
      </c>
      <c r="N6">
        <v>40</v>
      </c>
      <c r="O6" t="s">
        <v>186</v>
      </c>
    </row>
    <row r="7" spans="1:15" x14ac:dyDescent="0.3">
      <c r="A7" t="s">
        <v>151</v>
      </c>
      <c r="C7" t="s">
        <v>152</v>
      </c>
      <c r="D7">
        <v>50605</v>
      </c>
      <c r="E7" t="s">
        <v>15</v>
      </c>
      <c r="K7" t="s">
        <v>21</v>
      </c>
      <c r="M7" t="s">
        <v>152</v>
      </c>
      <c r="N7" s="1">
        <v>43293.8</v>
      </c>
      <c r="O7" t="s">
        <v>15</v>
      </c>
    </row>
    <row r="8" spans="1:15" x14ac:dyDescent="0.3">
      <c r="A8" t="s">
        <v>153</v>
      </c>
      <c r="C8" t="s">
        <v>154</v>
      </c>
      <c r="D8">
        <v>0.75</v>
      </c>
      <c r="E8" t="s">
        <v>155</v>
      </c>
      <c r="K8" t="s">
        <v>153</v>
      </c>
      <c r="M8" t="s">
        <v>154</v>
      </c>
      <c r="N8">
        <v>0.75</v>
      </c>
      <c r="O8" t="s">
        <v>155</v>
      </c>
    </row>
    <row r="9" spans="1:15" x14ac:dyDescent="0.3">
      <c r="A9" t="s">
        <v>156</v>
      </c>
      <c r="C9" t="s">
        <v>158</v>
      </c>
      <c r="D9">
        <v>1.42</v>
      </c>
    </row>
    <row r="10" spans="1:15" x14ac:dyDescent="0.3">
      <c r="A10" t="s">
        <v>157</v>
      </c>
      <c r="D10">
        <v>9.16</v>
      </c>
    </row>
    <row r="12" spans="1:15" ht="18" x14ac:dyDescent="0.35">
      <c r="K12" s="20" t="s">
        <v>159</v>
      </c>
    </row>
    <row r="13" spans="1:15" ht="18" x14ac:dyDescent="0.35">
      <c r="A13" s="20" t="s">
        <v>159</v>
      </c>
      <c r="K13" t="s">
        <v>187</v>
      </c>
      <c r="N13" t="s">
        <v>179</v>
      </c>
      <c r="O13">
        <f>N5-N4</f>
        <v>37</v>
      </c>
    </row>
    <row r="14" spans="1:15" x14ac:dyDescent="0.3">
      <c r="A14" t="s">
        <v>160</v>
      </c>
      <c r="D14" t="s">
        <v>149</v>
      </c>
      <c r="E14">
        <f>D6+273.15</f>
        <v>313.14999999999998</v>
      </c>
      <c r="F14" t="s">
        <v>161</v>
      </c>
      <c r="K14" t="s">
        <v>166</v>
      </c>
      <c r="N14" t="s">
        <v>196</v>
      </c>
      <c r="O14">
        <f>N5/N4</f>
        <v>1.6851851851851851</v>
      </c>
    </row>
    <row r="15" spans="1:15" x14ac:dyDescent="0.3">
      <c r="A15" t="s">
        <v>21</v>
      </c>
      <c r="D15" t="s">
        <v>152</v>
      </c>
      <c r="E15">
        <f>D7/3600</f>
        <v>14.056944444444444</v>
      </c>
      <c r="F15" t="s">
        <v>162</v>
      </c>
      <c r="K15" t="s">
        <v>21</v>
      </c>
      <c r="N15" t="s">
        <v>152</v>
      </c>
      <c r="O15">
        <f>N7/3600</f>
        <v>12.026055555555557</v>
      </c>
    </row>
    <row r="16" spans="1:15" x14ac:dyDescent="0.3">
      <c r="A16" t="s">
        <v>163</v>
      </c>
      <c r="D16" t="s">
        <v>164</v>
      </c>
      <c r="E16">
        <f>8.314/D10</f>
        <v>0.90764192139737987</v>
      </c>
      <c r="F16" t="s">
        <v>165</v>
      </c>
      <c r="K16" t="s">
        <v>148</v>
      </c>
      <c r="N16" t="s">
        <v>149</v>
      </c>
      <c r="O16">
        <f>N6+273.15</f>
        <v>313.14999999999998</v>
      </c>
    </row>
    <row r="17" spans="1:15" x14ac:dyDescent="0.3">
      <c r="A17" t="s">
        <v>166</v>
      </c>
      <c r="E17">
        <f>D5/D4</f>
        <v>1.6176470588235294</v>
      </c>
      <c r="K17" t="s">
        <v>184</v>
      </c>
      <c r="N17" t="s">
        <v>170</v>
      </c>
      <c r="O17" s="1">
        <v>304.06799999999998</v>
      </c>
    </row>
    <row r="18" spans="1:15" x14ac:dyDescent="0.3">
      <c r="A18" t="s">
        <v>167</v>
      </c>
      <c r="D18" t="s">
        <v>168</v>
      </c>
      <c r="E18">
        <f>E14*E17^((D9-1)/D9)</f>
        <v>361.02305779759172</v>
      </c>
      <c r="F18" t="s">
        <v>161</v>
      </c>
      <c r="K18" t="s">
        <v>188</v>
      </c>
      <c r="N18" t="s">
        <v>181</v>
      </c>
      <c r="O18" s="1">
        <v>23071.599999999999</v>
      </c>
    </row>
    <row r="19" spans="1:15" x14ac:dyDescent="0.3">
      <c r="A19" t="s">
        <v>167</v>
      </c>
      <c r="D19" t="s">
        <v>168</v>
      </c>
      <c r="E19">
        <f>E18-273.15</f>
        <v>87.873057797591741</v>
      </c>
      <c r="F19" t="s">
        <v>150</v>
      </c>
      <c r="K19" t="s">
        <v>189</v>
      </c>
      <c r="N19" t="s">
        <v>174</v>
      </c>
      <c r="O19">
        <v>194.773</v>
      </c>
    </row>
    <row r="20" spans="1:15" x14ac:dyDescent="0.3">
      <c r="A20" t="s">
        <v>169</v>
      </c>
      <c r="D20" t="s">
        <v>170</v>
      </c>
      <c r="E20">
        <f>E14+(E18-E14)/D8</f>
        <v>376.9807437301223</v>
      </c>
      <c r="F20" t="s">
        <v>161</v>
      </c>
      <c r="K20" s="1" t="s">
        <v>190</v>
      </c>
      <c r="O20">
        <f>N7/1000</f>
        <v>43.293800000000005</v>
      </c>
    </row>
    <row r="21" spans="1:15" x14ac:dyDescent="0.3">
      <c r="A21" t="s">
        <v>169</v>
      </c>
      <c r="D21" t="s">
        <v>170</v>
      </c>
      <c r="E21">
        <f>E20-273.15</f>
        <v>103.83074373012232</v>
      </c>
    </row>
    <row r="22" spans="1:15" x14ac:dyDescent="0.3">
      <c r="A22" t="s">
        <v>171</v>
      </c>
      <c r="D22" t="s">
        <v>172</v>
      </c>
      <c r="E22">
        <f>D9/(D9-1)*E16*E14*(E17^((D9-1)/D9)-1)</f>
        <v>146.9077707401311</v>
      </c>
    </row>
    <row r="23" spans="1:15" x14ac:dyDescent="0.3">
      <c r="A23" t="s">
        <v>173</v>
      </c>
      <c r="D23" t="s">
        <v>174</v>
      </c>
      <c r="E23">
        <f>E22/D8</f>
        <v>195.87702765350812</v>
      </c>
    </row>
    <row r="24" spans="1:15" x14ac:dyDescent="0.3">
      <c r="A24" s="1" t="s">
        <v>175</v>
      </c>
      <c r="D24" t="s">
        <v>176</v>
      </c>
      <c r="E24">
        <f>E15*E23</f>
        <v>2753.4324956682717</v>
      </c>
    </row>
    <row r="26" spans="1:15" ht="18" x14ac:dyDescent="0.35">
      <c r="K26" s="20" t="s">
        <v>191</v>
      </c>
    </row>
    <row r="27" spans="1:15" ht="18" x14ac:dyDescent="0.35">
      <c r="A27" s="20" t="s">
        <v>177</v>
      </c>
      <c r="K27" t="s">
        <v>192</v>
      </c>
      <c r="N27" s="1">
        <v>1.68519</v>
      </c>
    </row>
    <row r="28" spans="1:15" x14ac:dyDescent="0.3">
      <c r="A28" t="s">
        <v>178</v>
      </c>
      <c r="D28" t="s">
        <v>179</v>
      </c>
      <c r="E28">
        <v>21</v>
      </c>
      <c r="F28" t="s">
        <v>145</v>
      </c>
      <c r="K28" t="s">
        <v>180</v>
      </c>
      <c r="N28" s="1">
        <v>23071.599999999999</v>
      </c>
      <c r="O28" t="s">
        <v>152</v>
      </c>
    </row>
    <row r="29" spans="1:15" x14ac:dyDescent="0.3">
      <c r="A29" t="s">
        <v>180</v>
      </c>
      <c r="D29" t="s">
        <v>181</v>
      </c>
      <c r="E29">
        <v>20379.2</v>
      </c>
      <c r="F29" t="s">
        <v>152</v>
      </c>
      <c r="K29" t="s">
        <v>193</v>
      </c>
      <c r="N29" s="1">
        <v>194.773</v>
      </c>
      <c r="O29" t="s">
        <v>183</v>
      </c>
    </row>
    <row r="30" spans="1:15" x14ac:dyDescent="0.3">
      <c r="A30" t="s">
        <v>182</v>
      </c>
      <c r="D30" t="s">
        <v>176</v>
      </c>
      <c r="E30">
        <v>266.25599999999997</v>
      </c>
      <c r="F30" t="s">
        <v>183</v>
      </c>
      <c r="K30" t="s">
        <v>194</v>
      </c>
      <c r="N30" s="1">
        <v>1500</v>
      </c>
      <c r="O30" t="s">
        <v>195</v>
      </c>
    </row>
    <row r="31" spans="1:15" x14ac:dyDescent="0.3">
      <c r="A31" t="s">
        <v>184</v>
      </c>
      <c r="D31" t="s">
        <v>170</v>
      </c>
      <c r="E31">
        <v>270.01</v>
      </c>
      <c r="F31" t="s">
        <v>150</v>
      </c>
    </row>
    <row r="36" spans="1:19" ht="23.4" x14ac:dyDescent="0.45">
      <c r="A36" s="2" t="s">
        <v>197</v>
      </c>
      <c r="N36" s="2" t="s">
        <v>225</v>
      </c>
    </row>
    <row r="38" spans="1:19" ht="18" x14ac:dyDescent="0.35">
      <c r="A38" s="20" t="s">
        <v>142</v>
      </c>
      <c r="N38" s="20" t="s">
        <v>142</v>
      </c>
    </row>
    <row r="39" spans="1:19" x14ac:dyDescent="0.3">
      <c r="A39" t="s">
        <v>143</v>
      </c>
      <c r="D39" t="s">
        <v>144</v>
      </c>
      <c r="E39">
        <v>149</v>
      </c>
      <c r="F39" t="s">
        <v>145</v>
      </c>
      <c r="N39" t="s">
        <v>148</v>
      </c>
      <c r="P39" t="s">
        <v>149</v>
      </c>
      <c r="R39">
        <v>200</v>
      </c>
      <c r="S39" t="s">
        <v>150</v>
      </c>
    </row>
    <row r="40" spans="1:19" x14ac:dyDescent="0.3">
      <c r="A40" t="s">
        <v>146</v>
      </c>
      <c r="D40" t="s">
        <v>147</v>
      </c>
      <c r="E40">
        <v>147</v>
      </c>
      <c r="F40" t="s">
        <v>145</v>
      </c>
      <c r="N40" t="s">
        <v>143</v>
      </c>
      <c r="P40" t="s">
        <v>144</v>
      </c>
      <c r="R40">
        <v>146</v>
      </c>
      <c r="S40" t="s">
        <v>145</v>
      </c>
    </row>
    <row r="41" spans="1:19" x14ac:dyDescent="0.3">
      <c r="A41" t="s">
        <v>148</v>
      </c>
      <c r="D41" t="s">
        <v>149</v>
      </c>
      <c r="E41">
        <v>430</v>
      </c>
      <c r="F41" t="s">
        <v>150</v>
      </c>
      <c r="N41" t="s">
        <v>21</v>
      </c>
      <c r="P41" t="s">
        <v>152</v>
      </c>
      <c r="R41">
        <v>43227.199999999997</v>
      </c>
      <c r="S41" t="s">
        <v>15</v>
      </c>
    </row>
    <row r="42" spans="1:19" x14ac:dyDescent="0.3">
      <c r="A42" t="s">
        <v>198</v>
      </c>
      <c r="D42" t="s">
        <v>170</v>
      </c>
      <c r="E42">
        <v>430</v>
      </c>
      <c r="F42" t="s">
        <v>150</v>
      </c>
      <c r="N42" t="s">
        <v>199</v>
      </c>
      <c r="P42" t="s">
        <v>154</v>
      </c>
      <c r="R42">
        <v>4233.2</v>
      </c>
      <c r="S42" t="s">
        <v>201</v>
      </c>
    </row>
    <row r="43" spans="1:19" x14ac:dyDescent="0.3">
      <c r="A43" s="21" t="s">
        <v>21</v>
      </c>
      <c r="D43" t="s">
        <v>152</v>
      </c>
      <c r="E43">
        <v>43226.7</v>
      </c>
      <c r="F43" t="s">
        <v>15</v>
      </c>
      <c r="N43" t="s">
        <v>226</v>
      </c>
      <c r="P43" t="s">
        <v>234</v>
      </c>
      <c r="R43">
        <v>0</v>
      </c>
    </row>
    <row r="44" spans="1:19" x14ac:dyDescent="0.3">
      <c r="A44" t="s">
        <v>199</v>
      </c>
      <c r="D44" t="s">
        <v>154</v>
      </c>
      <c r="E44">
        <v>5116.68</v>
      </c>
      <c r="F44" t="s">
        <v>201</v>
      </c>
    </row>
    <row r="45" spans="1:19" ht="18" x14ac:dyDescent="0.35">
      <c r="A45" t="s">
        <v>200</v>
      </c>
      <c r="D45" t="s">
        <v>179</v>
      </c>
      <c r="E45">
        <v>2</v>
      </c>
      <c r="F45" t="s">
        <v>145</v>
      </c>
      <c r="N45" s="20" t="s">
        <v>227</v>
      </c>
    </row>
    <row r="46" spans="1:19" x14ac:dyDescent="0.3">
      <c r="N46" t="s">
        <v>228</v>
      </c>
      <c r="R46">
        <v>30</v>
      </c>
      <c r="S46" t="s">
        <v>150</v>
      </c>
    </row>
    <row r="47" spans="1:19" x14ac:dyDescent="0.3">
      <c r="N47" t="s">
        <v>229</v>
      </c>
      <c r="R47">
        <v>145</v>
      </c>
      <c r="S47" t="s">
        <v>145</v>
      </c>
    </row>
    <row r="48" spans="1:19" ht="18" x14ac:dyDescent="0.35">
      <c r="A48" s="20" t="s">
        <v>159</v>
      </c>
      <c r="N48" t="s">
        <v>230</v>
      </c>
      <c r="R48">
        <v>37774.300000000003</v>
      </c>
      <c r="S48" t="s">
        <v>15</v>
      </c>
    </row>
    <row r="49" spans="1:20" x14ac:dyDescent="0.3">
      <c r="A49" t="s">
        <v>200</v>
      </c>
      <c r="D49" t="s">
        <v>179</v>
      </c>
      <c r="E49">
        <f>E39-E40</f>
        <v>2</v>
      </c>
      <c r="F49" t="s">
        <v>145</v>
      </c>
      <c r="N49" t="s">
        <v>231</v>
      </c>
      <c r="R49">
        <v>5452.81</v>
      </c>
      <c r="S49" t="s">
        <v>15</v>
      </c>
    </row>
    <row r="50" spans="1:20" x14ac:dyDescent="0.3">
      <c r="A50" t="s">
        <v>202</v>
      </c>
      <c r="D50" t="s">
        <v>206</v>
      </c>
      <c r="E50">
        <f>E42-E41</f>
        <v>0</v>
      </c>
      <c r="F50" t="s">
        <v>150</v>
      </c>
      <c r="N50" t="s">
        <v>232</v>
      </c>
      <c r="R50">
        <v>3910.23</v>
      </c>
      <c r="S50" t="s">
        <v>201</v>
      </c>
    </row>
    <row r="51" spans="1:20" x14ac:dyDescent="0.3">
      <c r="A51" t="s">
        <v>21</v>
      </c>
      <c r="D51" t="s">
        <v>152</v>
      </c>
      <c r="E51">
        <f>E43/1000</f>
        <v>43.226699999999994</v>
      </c>
      <c r="F51" t="s">
        <v>210</v>
      </c>
      <c r="N51" t="s">
        <v>233</v>
      </c>
      <c r="R51">
        <v>322.97699999999998</v>
      </c>
      <c r="S51" t="s">
        <v>201</v>
      </c>
    </row>
    <row r="52" spans="1:20" x14ac:dyDescent="0.3">
      <c r="A52" t="s">
        <v>199</v>
      </c>
      <c r="D52" t="s">
        <v>154</v>
      </c>
      <c r="E52">
        <f>E44</f>
        <v>5116.68</v>
      </c>
      <c r="F52" t="s">
        <v>201</v>
      </c>
    </row>
    <row r="53" spans="1:20" x14ac:dyDescent="0.3">
      <c r="A53" t="s">
        <v>203</v>
      </c>
      <c r="D53" t="s">
        <v>207</v>
      </c>
      <c r="E53" s="1">
        <v>441.70699999999999</v>
      </c>
      <c r="F53" t="s">
        <v>201</v>
      </c>
    </row>
    <row r="54" spans="1:20" x14ac:dyDescent="0.3">
      <c r="A54" t="s">
        <v>204</v>
      </c>
      <c r="D54" t="s">
        <v>208</v>
      </c>
      <c r="E54">
        <f>2*E53</f>
        <v>883.41399999999999</v>
      </c>
      <c r="F54" t="s">
        <v>201</v>
      </c>
    </row>
    <row r="55" spans="1:20" x14ac:dyDescent="0.3">
      <c r="A55" t="s">
        <v>205</v>
      </c>
      <c r="D55" t="s">
        <v>209</v>
      </c>
      <c r="E55">
        <f>E54*17.0305</f>
        <v>15044.982126999999</v>
      </c>
      <c r="F55" t="s">
        <v>15</v>
      </c>
    </row>
    <row r="56" spans="1:20" x14ac:dyDescent="0.3">
      <c r="A56" t="s">
        <v>205</v>
      </c>
      <c r="D56" t="s">
        <v>209</v>
      </c>
      <c r="E56">
        <f>E55/100</f>
        <v>150.44982127</v>
      </c>
      <c r="F56" t="s">
        <v>210</v>
      </c>
    </row>
    <row r="58" spans="1:20" ht="18" x14ac:dyDescent="0.35">
      <c r="N58" s="20" t="s">
        <v>159</v>
      </c>
    </row>
    <row r="59" spans="1:20" ht="18" x14ac:dyDescent="0.35">
      <c r="A59" s="20" t="s">
        <v>191</v>
      </c>
      <c r="N59" t="s">
        <v>200</v>
      </c>
      <c r="Q59" t="s">
        <v>179</v>
      </c>
      <c r="S59">
        <f>R40-R47</f>
        <v>1</v>
      </c>
      <c r="T59" t="s">
        <v>145</v>
      </c>
    </row>
    <row r="60" spans="1:20" x14ac:dyDescent="0.3">
      <c r="A60" s="4" t="s">
        <v>1</v>
      </c>
      <c r="D60" s="4" t="s">
        <v>211</v>
      </c>
      <c r="G60" s="4" t="s">
        <v>12</v>
      </c>
      <c r="N60" t="s">
        <v>235</v>
      </c>
      <c r="Q60" t="s">
        <v>241</v>
      </c>
      <c r="S60">
        <f>R48/1000</f>
        <v>37.774300000000004</v>
      </c>
      <c r="T60" t="s">
        <v>210</v>
      </c>
    </row>
    <row r="61" spans="1:20" x14ac:dyDescent="0.3">
      <c r="A61" s="9" t="s">
        <v>212</v>
      </c>
      <c r="D61" s="9" t="s">
        <v>67</v>
      </c>
      <c r="G61" s="9" t="s">
        <v>213</v>
      </c>
      <c r="N61" t="s">
        <v>236</v>
      </c>
      <c r="Q61" t="s">
        <v>242</v>
      </c>
      <c r="S61">
        <f>R51/1000</f>
        <v>0.32297699999999996</v>
      </c>
      <c r="T61" t="s">
        <v>210</v>
      </c>
    </row>
    <row r="62" spans="1:20" x14ac:dyDescent="0.3">
      <c r="A62" s="9" t="s">
        <v>214</v>
      </c>
      <c r="D62" s="9" t="s">
        <v>215</v>
      </c>
      <c r="G62" s="9" t="s">
        <v>213</v>
      </c>
      <c r="N62" t="s">
        <v>237</v>
      </c>
      <c r="Q62" t="s">
        <v>243</v>
      </c>
      <c r="S62">
        <f>R48+R49</f>
        <v>43227.11</v>
      </c>
      <c r="T62" t="s">
        <v>15</v>
      </c>
    </row>
    <row r="63" spans="1:20" x14ac:dyDescent="0.3">
      <c r="A63" s="9" t="s">
        <v>216</v>
      </c>
      <c r="D63" s="9" t="s">
        <v>217</v>
      </c>
      <c r="G63" s="9" t="s">
        <v>213</v>
      </c>
      <c r="N63" t="s">
        <v>238</v>
      </c>
      <c r="S63">
        <f>S62-R41</f>
        <v>-8.999999999650754E-2</v>
      </c>
      <c r="T63" t="s">
        <v>15</v>
      </c>
    </row>
    <row r="64" spans="1:20" x14ac:dyDescent="0.3">
      <c r="A64" s="9" t="s">
        <v>143</v>
      </c>
      <c r="D64" s="9">
        <v>149</v>
      </c>
      <c r="G64" s="9" t="s">
        <v>218</v>
      </c>
      <c r="N64" t="s">
        <v>239</v>
      </c>
      <c r="S64">
        <f>R48/R41*100</f>
        <v>87.385488766332315</v>
      </c>
      <c r="T64" t="s">
        <v>155</v>
      </c>
    </row>
    <row r="65" spans="1:20" x14ac:dyDescent="0.3">
      <c r="A65" s="9" t="s">
        <v>146</v>
      </c>
      <c r="D65" s="9">
        <v>147</v>
      </c>
      <c r="G65" s="9" t="s">
        <v>218</v>
      </c>
      <c r="N65" t="s">
        <v>240</v>
      </c>
      <c r="S65">
        <f>R49/R41*100</f>
        <v>12.61430303142466</v>
      </c>
      <c r="T65" t="s">
        <v>155</v>
      </c>
    </row>
    <row r="66" spans="1:20" x14ac:dyDescent="0.3">
      <c r="A66" s="9" t="s">
        <v>200</v>
      </c>
      <c r="D66" s="9">
        <v>2</v>
      </c>
      <c r="G66" s="9" t="s">
        <v>145</v>
      </c>
    </row>
    <row r="67" spans="1:20" x14ac:dyDescent="0.3">
      <c r="A67" s="9" t="s">
        <v>148</v>
      </c>
      <c r="D67" s="9">
        <v>430</v>
      </c>
      <c r="G67" s="9" t="s">
        <v>186</v>
      </c>
    </row>
    <row r="68" spans="1:20" x14ac:dyDescent="0.3">
      <c r="A68" s="9" t="s">
        <v>198</v>
      </c>
      <c r="D68" s="9">
        <v>430</v>
      </c>
      <c r="G68" s="9" t="s">
        <v>186</v>
      </c>
    </row>
    <row r="69" spans="1:20" x14ac:dyDescent="0.3">
      <c r="A69" s="9" t="s">
        <v>219</v>
      </c>
      <c r="D69" s="22">
        <v>43226.7</v>
      </c>
      <c r="G69" s="9" t="s">
        <v>15</v>
      </c>
    </row>
    <row r="70" spans="1:20" x14ac:dyDescent="0.3">
      <c r="A70" s="9" t="s">
        <v>220</v>
      </c>
      <c r="D70" s="22">
        <v>5116.68</v>
      </c>
      <c r="G70" s="9" t="s">
        <v>201</v>
      </c>
    </row>
    <row r="71" spans="1:20" x14ac:dyDescent="0.3">
      <c r="A71" s="9" t="s">
        <v>221</v>
      </c>
      <c r="D71" s="9">
        <v>441.70699999999999</v>
      </c>
      <c r="G71" s="9" t="s">
        <v>201</v>
      </c>
    </row>
    <row r="72" spans="1:20" x14ac:dyDescent="0.3">
      <c r="A72" s="9" t="s">
        <v>222</v>
      </c>
      <c r="D72" s="23">
        <v>15045</v>
      </c>
      <c r="G72" s="9" t="s">
        <v>15</v>
      </c>
    </row>
    <row r="73" spans="1:20" x14ac:dyDescent="0.3">
      <c r="A73" s="9" t="s">
        <v>223</v>
      </c>
      <c r="D73" s="9">
        <v>1</v>
      </c>
      <c r="G73" s="9" t="s">
        <v>224</v>
      </c>
    </row>
    <row r="79" spans="1:20" ht="23.4" x14ac:dyDescent="0.45">
      <c r="A79" s="2" t="s">
        <v>244</v>
      </c>
    </row>
    <row r="81" spans="1:7" ht="18" x14ac:dyDescent="0.35">
      <c r="A81" s="20" t="s">
        <v>142</v>
      </c>
    </row>
    <row r="82" spans="1:7" x14ac:dyDescent="0.3">
      <c r="A82" t="s">
        <v>245</v>
      </c>
      <c r="D82" t="s">
        <v>149</v>
      </c>
      <c r="E82">
        <v>30</v>
      </c>
      <c r="F82" t="s">
        <v>150</v>
      </c>
    </row>
    <row r="83" spans="1:7" x14ac:dyDescent="0.3">
      <c r="A83" t="s">
        <v>246</v>
      </c>
      <c r="D83" t="s">
        <v>144</v>
      </c>
      <c r="E83">
        <v>145</v>
      </c>
      <c r="F83" t="s">
        <v>145</v>
      </c>
    </row>
    <row r="84" spans="1:7" x14ac:dyDescent="0.3">
      <c r="A84" t="s">
        <v>231</v>
      </c>
      <c r="D84" t="s">
        <v>152</v>
      </c>
      <c r="E84">
        <v>5453.12</v>
      </c>
      <c r="F84" t="s">
        <v>15</v>
      </c>
    </row>
    <row r="85" spans="1:7" x14ac:dyDescent="0.3">
      <c r="A85" t="s">
        <v>233</v>
      </c>
      <c r="D85" t="s">
        <v>154</v>
      </c>
      <c r="E85">
        <v>322.99599999999998</v>
      </c>
      <c r="F85" t="s">
        <v>201</v>
      </c>
    </row>
    <row r="86" spans="1:7" x14ac:dyDescent="0.3">
      <c r="A86" t="s">
        <v>247</v>
      </c>
      <c r="D86" t="s">
        <v>251</v>
      </c>
      <c r="E86">
        <v>589.67399999999998</v>
      </c>
      <c r="F86" t="s">
        <v>260</v>
      </c>
    </row>
    <row r="87" spans="1:7" x14ac:dyDescent="0.3">
      <c r="A87" t="s">
        <v>248</v>
      </c>
      <c r="D87" t="s">
        <v>252</v>
      </c>
      <c r="E87">
        <v>9.2476800000000008</v>
      </c>
      <c r="F87" t="s">
        <v>261</v>
      </c>
    </row>
    <row r="88" spans="1:7" x14ac:dyDescent="0.3">
      <c r="A88" t="s">
        <v>249</v>
      </c>
      <c r="D88" t="s">
        <v>253</v>
      </c>
      <c r="E88">
        <v>75</v>
      </c>
      <c r="F88" t="s">
        <v>155</v>
      </c>
    </row>
    <row r="89" spans="1:7" x14ac:dyDescent="0.3">
      <c r="A89" t="s">
        <v>250</v>
      </c>
      <c r="D89" t="s">
        <v>147</v>
      </c>
      <c r="E89">
        <v>150</v>
      </c>
      <c r="F89" t="s">
        <v>145</v>
      </c>
    </row>
    <row r="93" spans="1:7" ht="18" x14ac:dyDescent="0.35">
      <c r="A93" s="20" t="s">
        <v>159</v>
      </c>
    </row>
    <row r="94" spans="1:7" x14ac:dyDescent="0.3">
      <c r="A94" t="s">
        <v>187</v>
      </c>
      <c r="D94" t="s">
        <v>179</v>
      </c>
      <c r="F94">
        <f>E89-E83</f>
        <v>5</v>
      </c>
      <c r="G94" t="s">
        <v>145</v>
      </c>
    </row>
    <row r="95" spans="1:7" x14ac:dyDescent="0.3">
      <c r="A95" t="s">
        <v>187</v>
      </c>
      <c r="D95" t="s">
        <v>179</v>
      </c>
      <c r="F95">
        <f>F94*100000</f>
        <v>500000</v>
      </c>
      <c r="G95" t="s">
        <v>262</v>
      </c>
    </row>
    <row r="96" spans="1:7" x14ac:dyDescent="0.3">
      <c r="A96" t="s">
        <v>248</v>
      </c>
      <c r="D96" t="s">
        <v>252</v>
      </c>
      <c r="F96">
        <f>E87/3600</f>
        <v>2.5688000000000004E-3</v>
      </c>
      <c r="G96" t="s">
        <v>263</v>
      </c>
    </row>
    <row r="97" spans="1:7" x14ac:dyDescent="0.3">
      <c r="A97" t="s">
        <v>254</v>
      </c>
      <c r="D97" t="s">
        <v>257</v>
      </c>
      <c r="F97">
        <f>F95*F96/1000</f>
        <v>1.2844000000000002</v>
      </c>
      <c r="G97" t="s">
        <v>183</v>
      </c>
    </row>
    <row r="98" spans="1:7" x14ac:dyDescent="0.3">
      <c r="A98" t="s">
        <v>255</v>
      </c>
      <c r="D98" t="s">
        <v>258</v>
      </c>
      <c r="F98">
        <f>F97/(E88/100)</f>
        <v>1.7125333333333337</v>
      </c>
      <c r="G98" t="s">
        <v>183</v>
      </c>
    </row>
    <row r="99" spans="1:7" x14ac:dyDescent="0.3">
      <c r="A99" t="s">
        <v>256</v>
      </c>
      <c r="D99" t="s">
        <v>259</v>
      </c>
      <c r="F99">
        <f>F98*1.1</f>
        <v>1.8837866666666672</v>
      </c>
      <c r="G99" t="s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F640-C259-4375-B5A3-7532F6A9DC30}">
  <dimension ref="A1:P26"/>
  <sheetViews>
    <sheetView topLeftCell="A19" workbookViewId="0">
      <selection activeCell="M3" sqref="M3"/>
    </sheetView>
  </sheetViews>
  <sheetFormatPr defaultRowHeight="14.4" x14ac:dyDescent="0.3"/>
  <cols>
    <col min="8" max="8" width="10.6640625" bestFit="1" customWidth="1"/>
    <col min="11" max="12" width="10.6640625" bestFit="1" customWidth="1"/>
  </cols>
  <sheetData>
    <row r="1" spans="1:16" ht="23.4" x14ac:dyDescent="0.45">
      <c r="A1" s="2" t="s">
        <v>264</v>
      </c>
    </row>
    <row r="3" spans="1:16" x14ac:dyDescent="0.3">
      <c r="A3" s="4" t="s">
        <v>265</v>
      </c>
      <c r="E3" s="4" t="s">
        <v>267</v>
      </c>
      <c r="K3" s="8" t="s">
        <v>268</v>
      </c>
      <c r="L3" s="4" t="s">
        <v>12</v>
      </c>
      <c r="M3" s="4" t="s">
        <v>290</v>
      </c>
    </row>
    <row r="4" spans="1:16" x14ac:dyDescent="0.3">
      <c r="A4" s="11" t="s">
        <v>269</v>
      </c>
      <c r="E4" s="9" t="s">
        <v>270</v>
      </c>
      <c r="K4" s="13">
        <v>7348.72</v>
      </c>
      <c r="L4" s="9" t="s">
        <v>183</v>
      </c>
      <c r="M4" s="9" t="s">
        <v>271</v>
      </c>
      <c r="P4" s="8"/>
    </row>
    <row r="5" spans="1:16" x14ac:dyDescent="0.3">
      <c r="A5" s="11" t="s">
        <v>269</v>
      </c>
      <c r="E5" s="9" t="s">
        <v>272</v>
      </c>
      <c r="K5" s="13">
        <v>41923.599999999999</v>
      </c>
      <c r="L5" s="9" t="s">
        <v>183</v>
      </c>
      <c r="M5" s="9" t="s">
        <v>271</v>
      </c>
      <c r="P5" s="24"/>
    </row>
    <row r="6" spans="1:16" x14ac:dyDescent="0.3">
      <c r="A6" s="11" t="s">
        <v>269</v>
      </c>
      <c r="E6" s="9" t="s">
        <v>273</v>
      </c>
      <c r="K6" s="13">
        <v>23295.7</v>
      </c>
      <c r="L6" s="9" t="s">
        <v>183</v>
      </c>
      <c r="M6" s="9" t="s">
        <v>271</v>
      </c>
      <c r="P6" s="24"/>
    </row>
    <row r="7" spans="1:16" x14ac:dyDescent="0.3">
      <c r="A7" s="11" t="s">
        <v>269</v>
      </c>
      <c r="E7" s="9" t="s">
        <v>274</v>
      </c>
      <c r="K7" s="13">
        <v>1565.74</v>
      </c>
      <c r="L7" s="9" t="s">
        <v>183</v>
      </c>
      <c r="M7" s="9" t="s">
        <v>271</v>
      </c>
      <c r="P7" s="25"/>
    </row>
    <row r="8" spans="1:16" x14ac:dyDescent="0.3">
      <c r="P8" s="24"/>
    </row>
    <row r="12" spans="1:16" x14ac:dyDescent="0.3">
      <c r="A12" s="9"/>
      <c r="E12" s="11" t="s">
        <v>275</v>
      </c>
      <c r="K12" s="14">
        <v>74133.759999999995</v>
      </c>
      <c r="L12" s="11" t="s">
        <v>183</v>
      </c>
      <c r="M12" s="9" t="s">
        <v>276</v>
      </c>
    </row>
    <row r="13" spans="1:16" x14ac:dyDescent="0.3">
      <c r="A13" s="11" t="s">
        <v>277</v>
      </c>
      <c r="E13" s="9" t="s">
        <v>278</v>
      </c>
      <c r="K13" s="13">
        <v>28294.9</v>
      </c>
      <c r="L13" s="9" t="s">
        <v>183</v>
      </c>
      <c r="M13" s="9" t="s">
        <v>279</v>
      </c>
    </row>
    <row r="14" spans="1:16" x14ac:dyDescent="0.3">
      <c r="A14" s="11" t="s">
        <v>277</v>
      </c>
      <c r="E14" s="9" t="s">
        <v>280</v>
      </c>
      <c r="K14" s="13">
        <v>13720.5</v>
      </c>
      <c r="L14" s="9" t="s">
        <v>183</v>
      </c>
      <c r="M14" s="9" t="s">
        <v>279</v>
      </c>
    </row>
    <row r="15" spans="1:16" x14ac:dyDescent="0.3">
      <c r="A15" s="11" t="s">
        <v>277</v>
      </c>
      <c r="E15" s="9" t="s">
        <v>281</v>
      </c>
      <c r="K15" s="13">
        <v>45714.1</v>
      </c>
      <c r="L15" s="9" t="s">
        <v>183</v>
      </c>
      <c r="M15" s="9" t="s">
        <v>279</v>
      </c>
    </row>
    <row r="16" spans="1:16" x14ac:dyDescent="0.3">
      <c r="A16" s="11" t="s">
        <v>277</v>
      </c>
      <c r="E16" s="9" t="s">
        <v>282</v>
      </c>
      <c r="K16" s="13">
        <v>46200.6</v>
      </c>
      <c r="L16" s="9" t="s">
        <v>183</v>
      </c>
      <c r="M16" s="9" t="s">
        <v>279</v>
      </c>
    </row>
    <row r="17" spans="1:14" x14ac:dyDescent="0.3">
      <c r="A17" s="11" t="s">
        <v>277</v>
      </c>
      <c r="E17" s="9" t="s">
        <v>283</v>
      </c>
      <c r="K17" s="13">
        <v>2450.61</v>
      </c>
      <c r="L17" s="9" t="s">
        <v>183</v>
      </c>
      <c r="M17" s="9" t="s">
        <v>279</v>
      </c>
    </row>
    <row r="20" spans="1:14" x14ac:dyDescent="0.3">
      <c r="A20" s="9"/>
      <c r="E20" s="11" t="s">
        <v>284</v>
      </c>
      <c r="K20" s="14">
        <v>136380.71</v>
      </c>
      <c r="L20" s="11" t="s">
        <v>183</v>
      </c>
      <c r="M20" s="9" t="s">
        <v>276</v>
      </c>
    </row>
    <row r="21" spans="1:14" x14ac:dyDescent="0.3">
      <c r="A21" s="11" t="s">
        <v>266</v>
      </c>
      <c r="E21" s="9" t="s">
        <v>285</v>
      </c>
      <c r="K21" s="10">
        <v>266.25599999999997</v>
      </c>
      <c r="L21" s="9" t="s">
        <v>183</v>
      </c>
      <c r="M21" s="9" t="s">
        <v>286</v>
      </c>
    </row>
    <row r="22" spans="1:14" x14ac:dyDescent="0.3">
      <c r="A22" s="11" t="s">
        <v>266</v>
      </c>
      <c r="E22" s="9" t="s">
        <v>287</v>
      </c>
      <c r="K22" s="10">
        <v>194.773</v>
      </c>
      <c r="L22" s="9" t="s">
        <v>183</v>
      </c>
      <c r="M22" s="9" t="s">
        <v>286</v>
      </c>
    </row>
    <row r="23" spans="1:14" x14ac:dyDescent="0.3">
      <c r="A23" s="11" t="s">
        <v>266</v>
      </c>
      <c r="E23" s="9" t="s">
        <v>288</v>
      </c>
      <c r="K23" s="10">
        <v>355.79399999999998</v>
      </c>
      <c r="L23" s="9" t="s">
        <v>183</v>
      </c>
      <c r="M23" s="9" t="s">
        <v>286</v>
      </c>
    </row>
    <row r="24" spans="1:14" x14ac:dyDescent="0.3">
      <c r="A24" s="9"/>
      <c r="E24" s="11" t="s">
        <v>289</v>
      </c>
      <c r="K24" s="8">
        <v>816.82299999999998</v>
      </c>
      <c r="L24" s="11" t="s">
        <v>183</v>
      </c>
      <c r="M24" s="9" t="s">
        <v>276</v>
      </c>
    </row>
    <row r="25" spans="1:14" x14ac:dyDescent="0.3">
      <c r="A25" s="10"/>
      <c r="B25" s="11"/>
      <c r="F25" s="9"/>
      <c r="L25" s="8"/>
      <c r="M25" s="9"/>
      <c r="N25" s="9"/>
    </row>
    <row r="26" spans="1:14" x14ac:dyDescent="0.3">
      <c r="A26" s="10"/>
      <c r="B26" s="11"/>
      <c r="F26" s="9"/>
      <c r="L26" s="8"/>
      <c r="M26" s="9"/>
      <c r="N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3E97-45B6-4FF8-BD43-4A080503C5F3}">
  <dimension ref="A1:I55"/>
  <sheetViews>
    <sheetView tabSelected="1" topLeftCell="A7" workbookViewId="0">
      <selection activeCell="E58" sqref="E58"/>
    </sheetView>
  </sheetViews>
  <sheetFormatPr defaultRowHeight="14.4" x14ac:dyDescent="0.3"/>
  <cols>
    <col min="5" max="5" width="10.6640625" bestFit="1" customWidth="1"/>
  </cols>
  <sheetData>
    <row r="1" spans="1:9" ht="23.4" x14ac:dyDescent="0.45">
      <c r="A1" s="2" t="s">
        <v>291</v>
      </c>
    </row>
    <row r="3" spans="1:9" x14ac:dyDescent="0.3">
      <c r="A3" s="4" t="s">
        <v>1</v>
      </c>
      <c r="G3" s="8" t="s">
        <v>292</v>
      </c>
      <c r="I3" s="4" t="s">
        <v>12</v>
      </c>
    </row>
    <row r="4" spans="1:9" x14ac:dyDescent="0.3">
      <c r="A4" s="9" t="s">
        <v>2</v>
      </c>
      <c r="G4" s="10" t="s">
        <v>293</v>
      </c>
      <c r="I4" s="9" t="s">
        <v>213</v>
      </c>
    </row>
    <row r="5" spans="1:9" x14ac:dyDescent="0.3">
      <c r="A5" s="9" t="s">
        <v>294</v>
      </c>
      <c r="G5" s="10" t="s">
        <v>295</v>
      </c>
      <c r="I5" s="9" t="s">
        <v>213</v>
      </c>
    </row>
    <row r="6" spans="1:9" x14ac:dyDescent="0.3">
      <c r="A6" s="9" t="s">
        <v>296</v>
      </c>
      <c r="G6" s="10" t="s">
        <v>297</v>
      </c>
      <c r="I6" s="9" t="s">
        <v>213</v>
      </c>
    </row>
    <row r="7" spans="1:9" x14ac:dyDescent="0.3">
      <c r="A7" s="9" t="s">
        <v>298</v>
      </c>
      <c r="G7" s="12">
        <v>30000</v>
      </c>
      <c r="I7" s="9" t="s">
        <v>15</v>
      </c>
    </row>
    <row r="8" spans="1:9" x14ac:dyDescent="0.3">
      <c r="A8" s="9" t="s">
        <v>299</v>
      </c>
      <c r="G8" s="12">
        <v>45000</v>
      </c>
      <c r="I8" s="9" t="s">
        <v>15</v>
      </c>
    </row>
    <row r="9" spans="1:9" x14ac:dyDescent="0.3">
      <c r="A9" s="9" t="s">
        <v>96</v>
      </c>
      <c r="G9" s="12">
        <v>87210</v>
      </c>
      <c r="I9" s="9" t="s">
        <v>15</v>
      </c>
    </row>
    <row r="10" spans="1:9" x14ac:dyDescent="0.3">
      <c r="A10" s="11" t="s">
        <v>300</v>
      </c>
      <c r="G10" s="26">
        <v>162210</v>
      </c>
      <c r="I10" s="11" t="s">
        <v>15</v>
      </c>
    </row>
    <row r="11" spans="1:9" x14ac:dyDescent="0.3">
      <c r="A11" s="11" t="s">
        <v>301</v>
      </c>
      <c r="G11" s="14">
        <v>5453.12</v>
      </c>
      <c r="I11" s="11" t="s">
        <v>15</v>
      </c>
    </row>
    <row r="12" spans="1:9" x14ac:dyDescent="0.3">
      <c r="A12" s="11" t="s">
        <v>302</v>
      </c>
      <c r="G12" s="8">
        <v>5.4530000000000003</v>
      </c>
      <c r="I12" s="11" t="s">
        <v>210</v>
      </c>
    </row>
    <row r="13" spans="1:9" x14ac:dyDescent="0.3">
      <c r="A13" s="11" t="s">
        <v>302</v>
      </c>
      <c r="G13" s="8">
        <v>130.875</v>
      </c>
      <c r="I13" s="11" t="s">
        <v>303</v>
      </c>
    </row>
    <row r="14" spans="1:9" x14ac:dyDescent="0.3">
      <c r="A14" s="9" t="s">
        <v>304</v>
      </c>
      <c r="G14" s="10">
        <v>95.419300000000007</v>
      </c>
      <c r="I14" s="9" t="s">
        <v>305</v>
      </c>
    </row>
    <row r="15" spans="1:9" x14ac:dyDescent="0.3">
      <c r="A15" s="9" t="s">
        <v>306</v>
      </c>
      <c r="G15" s="10">
        <v>30</v>
      </c>
      <c r="I15" s="9" t="s">
        <v>186</v>
      </c>
    </row>
    <row r="16" spans="1:9" x14ac:dyDescent="0.3">
      <c r="A16" s="9" t="s">
        <v>307</v>
      </c>
      <c r="G16" s="10">
        <v>145</v>
      </c>
      <c r="I16" s="9" t="s">
        <v>218</v>
      </c>
    </row>
    <row r="21" spans="1:9" ht="23.4" x14ac:dyDescent="0.45">
      <c r="A21" s="2" t="s">
        <v>316</v>
      </c>
    </row>
    <row r="23" spans="1:9" x14ac:dyDescent="0.3">
      <c r="A23" s="4" t="s">
        <v>18</v>
      </c>
      <c r="E23" s="8" t="s">
        <v>308</v>
      </c>
      <c r="G23" s="4" t="s">
        <v>12</v>
      </c>
      <c r="I23" s="4" t="s">
        <v>309</v>
      </c>
    </row>
    <row r="24" spans="1:9" x14ac:dyDescent="0.3">
      <c r="A24" s="9" t="s">
        <v>310</v>
      </c>
      <c r="E24" s="13">
        <v>5453.12</v>
      </c>
      <c r="G24" s="9" t="s">
        <v>15</v>
      </c>
      <c r="I24" s="9" t="s">
        <v>311</v>
      </c>
    </row>
    <row r="25" spans="1:9" x14ac:dyDescent="0.3">
      <c r="A25" s="9" t="s">
        <v>312</v>
      </c>
      <c r="E25" s="13">
        <v>37774.300000000003</v>
      </c>
      <c r="G25" s="9" t="s">
        <v>15</v>
      </c>
      <c r="I25" s="9" t="s">
        <v>313</v>
      </c>
    </row>
    <row r="26" spans="1:9" x14ac:dyDescent="0.3">
      <c r="A26" s="9" t="s">
        <v>314</v>
      </c>
      <c r="E26" s="13">
        <v>73423.199999999997</v>
      </c>
      <c r="G26" s="9" t="s">
        <v>15</v>
      </c>
      <c r="I26" s="9" t="s">
        <v>315</v>
      </c>
    </row>
    <row r="31" spans="1:9" ht="23.4" x14ac:dyDescent="0.45">
      <c r="A31" s="2" t="s">
        <v>317</v>
      </c>
    </row>
    <row r="33" spans="1:7" x14ac:dyDescent="0.3">
      <c r="A33" s="4" t="s">
        <v>1</v>
      </c>
      <c r="E33" s="8" t="s">
        <v>292</v>
      </c>
      <c r="G33" s="4" t="s">
        <v>12</v>
      </c>
    </row>
    <row r="34" spans="1:7" x14ac:dyDescent="0.3">
      <c r="A34" s="9" t="s">
        <v>275</v>
      </c>
      <c r="E34" s="14">
        <v>74133.759999999995</v>
      </c>
      <c r="G34" s="9" t="s">
        <v>183</v>
      </c>
    </row>
    <row r="35" spans="1:7" x14ac:dyDescent="0.3">
      <c r="A35" s="9" t="s">
        <v>275</v>
      </c>
      <c r="E35" s="8">
        <v>74.134</v>
      </c>
      <c r="G35" s="9" t="s">
        <v>318</v>
      </c>
    </row>
    <row r="36" spans="1:7" x14ac:dyDescent="0.3">
      <c r="A36" s="9" t="s">
        <v>284</v>
      </c>
      <c r="E36" s="14">
        <v>136380.71</v>
      </c>
      <c r="G36" s="9" t="s">
        <v>183</v>
      </c>
    </row>
    <row r="37" spans="1:7" x14ac:dyDescent="0.3">
      <c r="A37" s="9" t="s">
        <v>284</v>
      </c>
      <c r="E37" s="8">
        <v>136.381</v>
      </c>
      <c r="G37" s="9" t="s">
        <v>318</v>
      </c>
    </row>
    <row r="38" spans="1:7" x14ac:dyDescent="0.3">
      <c r="A38" s="9" t="s">
        <v>319</v>
      </c>
      <c r="E38" s="14">
        <v>38742.6</v>
      </c>
      <c r="G38" s="9" t="s">
        <v>183</v>
      </c>
    </row>
    <row r="39" spans="1:7" x14ac:dyDescent="0.3">
      <c r="A39" s="9" t="s">
        <v>319</v>
      </c>
      <c r="E39" s="8">
        <v>38.743000000000002</v>
      </c>
      <c r="G39" s="9" t="s">
        <v>318</v>
      </c>
    </row>
    <row r="40" spans="1:7" x14ac:dyDescent="0.3">
      <c r="A40" s="9" t="s">
        <v>289</v>
      </c>
      <c r="E40" s="8">
        <v>816.82299999999998</v>
      </c>
      <c r="G40" s="9" t="s">
        <v>183</v>
      </c>
    </row>
    <row r="41" spans="1:7" x14ac:dyDescent="0.3">
      <c r="A41" s="9" t="s">
        <v>289</v>
      </c>
      <c r="E41" s="8">
        <v>0.81699999999999995</v>
      </c>
      <c r="G41" s="9" t="s">
        <v>318</v>
      </c>
    </row>
    <row r="43" spans="1:7" x14ac:dyDescent="0.3">
      <c r="A43" s="9"/>
      <c r="E43" s="10"/>
      <c r="G43" s="9"/>
    </row>
    <row r="44" spans="1:7" x14ac:dyDescent="0.3">
      <c r="A44" s="9"/>
      <c r="E44" s="10"/>
      <c r="G44" s="9"/>
    </row>
    <row r="45" spans="1:7" ht="23.4" x14ac:dyDescent="0.45">
      <c r="A45" s="2" t="s">
        <v>320</v>
      </c>
      <c r="E45" s="10"/>
      <c r="G45" s="9"/>
    </row>
    <row r="46" spans="1:7" x14ac:dyDescent="0.3">
      <c r="A46" s="9"/>
      <c r="E46" s="10"/>
      <c r="G46" s="9"/>
    </row>
    <row r="47" spans="1:7" x14ac:dyDescent="0.3">
      <c r="A47" s="4" t="s">
        <v>321</v>
      </c>
      <c r="E47" s="8" t="s">
        <v>8</v>
      </c>
    </row>
    <row r="48" spans="1:7" x14ac:dyDescent="0.3">
      <c r="A48" s="9" t="s">
        <v>322</v>
      </c>
      <c r="E48" s="10" t="s">
        <v>323</v>
      </c>
    </row>
    <row r="49" spans="1:5" x14ac:dyDescent="0.3">
      <c r="A49" s="9" t="s">
        <v>324</v>
      </c>
      <c r="E49" s="8" t="s">
        <v>325</v>
      </c>
    </row>
    <row r="50" spans="1:5" x14ac:dyDescent="0.3">
      <c r="A50" s="9" t="s">
        <v>324</v>
      </c>
      <c r="E50" s="8" t="s">
        <v>326</v>
      </c>
    </row>
    <row r="51" spans="1:5" x14ac:dyDescent="0.3">
      <c r="A51" s="9" t="s">
        <v>327</v>
      </c>
      <c r="E51" s="8" t="s">
        <v>328</v>
      </c>
    </row>
    <row r="52" spans="1:5" x14ac:dyDescent="0.3">
      <c r="A52" s="9" t="s">
        <v>329</v>
      </c>
      <c r="E52" s="8" t="s">
        <v>330</v>
      </c>
    </row>
    <row r="53" spans="1:5" x14ac:dyDescent="0.3">
      <c r="A53" s="9" t="s">
        <v>331</v>
      </c>
      <c r="E53" s="8" t="s">
        <v>332</v>
      </c>
    </row>
    <row r="54" spans="1:5" x14ac:dyDescent="0.3">
      <c r="A54" s="9" t="s">
        <v>333</v>
      </c>
      <c r="E54" s="8" t="s">
        <v>334</v>
      </c>
    </row>
    <row r="55" spans="1:5" x14ac:dyDescent="0.3">
      <c r="A55" s="9" t="s">
        <v>335</v>
      </c>
      <c r="E55" s="8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01 — DESIGN BASIS</vt:lpstr>
      <vt:lpstr>02 — STREAM LIST</vt:lpstr>
      <vt:lpstr>03  Mass &amp; Energy Balance </vt:lpstr>
      <vt:lpstr>03- Equipment Design</vt:lpstr>
      <vt:lpstr>04 — UTILITY SUMMARY</vt:lpstr>
      <vt:lpstr>05 — Final Plant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Sadiq .</dc:creator>
  <cp:lastModifiedBy>Sadiq .</cp:lastModifiedBy>
  <dcterms:created xsi:type="dcterms:W3CDTF">2026-10-02T03:15:45Z</dcterms:created>
  <dcterms:modified xsi:type="dcterms:W3CDTF">2026-10-03T09:08:37Z</dcterms:modified>
</cp:coreProperties>
</file>